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\Desktop\"/>
    </mc:Choice>
  </mc:AlternateContent>
  <xr:revisionPtr revIDLastSave="0" documentId="13_ncr:1_{0BF94416-6EB5-4B9E-8A25-40524431DF26}" xr6:coauthVersionLast="45" xr6:coauthVersionMax="45" xr10:uidLastSave="{00000000-0000-0000-0000-000000000000}"/>
  <bookViews>
    <workbookView xWindow="-96" yWindow="-96" windowWidth="23232" windowHeight="12552" xr2:uid="{00000000-000D-0000-FFFF-FFFF00000000}"/>
  </bookViews>
  <sheets>
    <sheet name="Mês Atual" sheetId="14" r:id="rId1"/>
    <sheet name="Relatórios" sheetId="16" r:id="rId2"/>
    <sheet name="Planilha2" sheetId="13" state="hidden" r:id="rId3"/>
  </sheets>
  <definedNames>
    <definedName name="_xlnm._FilterDatabase" localSheetId="0" hidden="1">'Mês Atual'!$J$2:$O$18</definedName>
    <definedName name="_xlnm.Print_Area" localSheetId="1">Relatórios!$A$1:$O$28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16" l="1"/>
  <c r="H17" i="16"/>
  <c r="G11" i="16"/>
  <c r="H13" i="16" s="1"/>
  <c r="G7" i="16"/>
  <c r="H9" i="16" s="1"/>
  <c r="G3" i="16"/>
  <c r="H5" i="16" s="1"/>
  <c r="C23" i="16"/>
  <c r="C22" i="16"/>
  <c r="C21" i="16"/>
  <c r="M20" i="16"/>
  <c r="M5" i="16"/>
  <c r="L4" i="16"/>
  <c r="D14" i="16"/>
  <c r="D13" i="16"/>
  <c r="D12" i="16"/>
  <c r="D11" i="16"/>
  <c r="D10" i="16"/>
  <c r="D9" i="16"/>
  <c r="D8" i="16"/>
  <c r="D3" i="16"/>
  <c r="D24" i="16" l="1"/>
  <c r="L15" i="16"/>
  <c r="M19" i="16" l="1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4" i="16"/>
  <c r="L19" i="16"/>
  <c r="L18" i="16"/>
  <c r="L17" i="16"/>
  <c r="L16" i="16"/>
  <c r="L14" i="16"/>
  <c r="L13" i="16"/>
  <c r="L12" i="16"/>
  <c r="L11" i="16"/>
  <c r="L10" i="16"/>
  <c r="L9" i="16"/>
  <c r="L8" i="16"/>
  <c r="L7" i="16"/>
  <c r="L6" i="16"/>
  <c r="L5" i="16"/>
  <c r="L20" i="16" l="1"/>
  <c r="D1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de Paiva</author>
  </authors>
  <commentList>
    <comment ref="D7" authorId="0" shapeId="0" xr:uid="{D316B9AA-222E-4224-AF11-EF0D10E663BE}">
      <text>
        <r>
          <rPr>
            <b/>
            <sz val="10"/>
            <color indexed="81"/>
            <rFont val="Segoe UI"/>
            <family val="2"/>
          </rPr>
          <t>Gabriel de Paiva:</t>
        </r>
        <r>
          <rPr>
            <sz val="10"/>
            <color indexed="81"/>
            <rFont val="Segoe UI"/>
            <family val="2"/>
          </rPr>
          <t xml:space="preserve">
Compila o que já foi gasto no mês, seja em dinheiro, banco ou cartão</t>
        </r>
      </text>
    </comment>
    <comment ref="C20" authorId="0" shapeId="0" xr:uid="{1014B213-AED8-46D9-828F-9A9BE18C8AAC}">
      <text>
        <r>
          <rPr>
            <b/>
            <sz val="10"/>
            <color indexed="81"/>
            <rFont val="Segoe UI"/>
            <family val="2"/>
          </rPr>
          <t>Gabriel de Paiva:</t>
        </r>
        <r>
          <rPr>
            <sz val="10"/>
            <color indexed="81"/>
            <rFont val="Segoe UI"/>
            <family val="2"/>
          </rPr>
          <t xml:space="preserve">
Esse é um valor que ainda será pago, possívelmente no próximo mês</t>
        </r>
      </text>
    </comment>
  </commentList>
</comments>
</file>

<file path=xl/sharedStrings.xml><?xml version="1.0" encoding="utf-8"?>
<sst xmlns="http://schemas.openxmlformats.org/spreadsheetml/2006/main" count="72" uniqueCount="58">
  <si>
    <t>Alimentação</t>
  </si>
  <si>
    <t>Educação</t>
  </si>
  <si>
    <t>Automóvel</t>
  </si>
  <si>
    <t>Casa</t>
  </si>
  <si>
    <t>Cuidados Pessoais</t>
  </si>
  <si>
    <t>Vestuário</t>
  </si>
  <si>
    <t>Impostos</t>
  </si>
  <si>
    <t>Saúde</t>
  </si>
  <si>
    <t>Transporte</t>
  </si>
  <si>
    <t>Data</t>
  </si>
  <si>
    <t>Descrição</t>
  </si>
  <si>
    <t>Classificação</t>
  </si>
  <si>
    <t>Valor</t>
  </si>
  <si>
    <t>Total</t>
  </si>
  <si>
    <t>Relação de Gastos no Mês</t>
  </si>
  <si>
    <t>Telefone</t>
  </si>
  <si>
    <t>Assinaturas</t>
  </si>
  <si>
    <t>Doações</t>
  </si>
  <si>
    <t>Celular</t>
  </si>
  <si>
    <t>Luz</t>
  </si>
  <si>
    <t>Internet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</si>
  <si>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</si>
  <si>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</si>
  <si>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</si>
  <si>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</si>
  <si>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</si>
  <si>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</si>
  <si>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</si>
  <si>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</si>
  <si>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</si>
  <si>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</si>
  <si>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</si>
  <si>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</si>
  <si>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Previsão de Gastos</t>
  </si>
  <si>
    <t>Dinheiro</t>
  </si>
  <si>
    <t>Entrada/Saída</t>
  </si>
  <si>
    <t>Saldo Inicial</t>
  </si>
  <si>
    <t>Saldo Disponível</t>
  </si>
  <si>
    <t>Conta</t>
  </si>
  <si>
    <t>De Quem?</t>
  </si>
  <si>
    <t>Saldos Bancários/ Cartões Pré-Pagos/ Dinheiro</t>
  </si>
  <si>
    <t>Orçamento Restante</t>
  </si>
  <si>
    <t>Gastos Consolidados</t>
  </si>
  <si>
    <t>Realizado</t>
  </si>
  <si>
    <t>Previsto</t>
  </si>
  <si>
    <t>Gasto Total Mensal</t>
  </si>
  <si>
    <t>Gastos Líquidos por Cartão de Débito, Crédito ou Dinheiro</t>
  </si>
  <si>
    <t>Previsão de Quanto Virá na Fatura do Cartão de Crédito</t>
  </si>
  <si>
    <t>Saída</t>
  </si>
  <si>
    <t>Investimentos</t>
  </si>
  <si>
    <t>Entrada</t>
  </si>
  <si>
    <t>Previsão de Gastos - O que será gasto no Mês? (Inserir os custos fixos para já provisionar)</t>
  </si>
  <si>
    <t>Conta 1</t>
  </si>
  <si>
    <t>Conta 2</t>
  </si>
  <si>
    <t>Conta 3</t>
  </si>
  <si>
    <t>Cartão 1</t>
  </si>
  <si>
    <t>Cartão 2</t>
  </si>
  <si>
    <t>Cartão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</si>
</sst>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</numFmts>
  <fonts count="1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89">
    <xf numFmtId="0" fontId="0" fillId="0" borderId="0" xfId="0"/>
    <xf numFmtId="0" fontId="2" fillId="0" borderId="0" xfId="0" applyFont="1"/>
    <xf numFmtId="165" fontId="0" fillId="0" borderId="1" xfId="5" applyFont="1" applyFill="1" applyBorder="1"/>
    <xf numFmtId="165" fontId="0" fillId="0" borderId="0" xfId="5" applyFont="1"/>
    <xf numFmtId="165" fontId="0" fillId="0" borderId="1" xfId="5" applyFont="1" applyBorder="1"/>
    <xf numFmtId="165" fontId="0" fillId="0" borderId="0" xfId="5" applyFont="1" applyFill="1"/>
    <xf numFmtId="0" fontId="2" fillId="0" borderId="0" xfId="0" applyFont="1" applyFill="1" applyBorder="1"/>
    <xf numFmtId="0" fontId="0" fillId="0" borderId="0" xfId="5" applyNumberFormat="1" applyFont="1" applyFill="1" applyAlignment="1">
      <alignment horizontal="center"/>
    </xf>
    <xf numFmtId="0" fontId="0" fillId="0" borderId="1" xfId="0" applyBorder="1"/>
    <xf numFmtId="0" fontId="2" fillId="0" borderId="1" xfId="0" applyFont="1" applyFill="1" applyBorder="1"/>
    <xf numFmtId="165" fontId="2" fillId="0" borderId="1" xfId="5" applyFont="1" applyFill="1" applyBorder="1"/>
    <xf numFmtId="0" fontId="2" fillId="0" borderId="1" xfId="5" applyNumberFormat="1" applyFont="1" applyFill="1" applyBorder="1" applyAlignment="1">
      <alignment horizontal="center"/>
    </xf>
    <xf numFmtId="165" fontId="10" fillId="0" borderId="1" xfId="5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3" fillId="2" borderId="1" xfId="5" applyNumberFormat="1" applyFont="1" applyFill="1" applyBorder="1" applyAlignment="1">
      <alignment horizontal="center" vertical="center" wrapText="1"/>
    </xf>
    <xf numFmtId="165" fontId="4" fillId="0" borderId="1" xfId="5" applyFont="1" applyFill="1" applyBorder="1"/>
    <xf numFmtId="43" fontId="2" fillId="0" borderId="1" xfId="0" applyNumberFormat="1" applyFont="1" applyFill="1" applyBorder="1"/>
    <xf numFmtId="0" fontId="0" fillId="0" borderId="0" xfId="0" applyAlignment="1">
      <alignment horizontal="center"/>
    </xf>
    <xf numFmtId="0" fontId="2" fillId="0" borderId="2" xfId="0" applyFont="1" applyFill="1" applyBorder="1"/>
    <xf numFmtId="43" fontId="2" fillId="0" borderId="2" xfId="0" applyNumberFormat="1" applyFont="1" applyFill="1" applyBorder="1"/>
    <xf numFmtId="0" fontId="0" fillId="0" borderId="2" xfId="0" applyBorder="1"/>
    <xf numFmtId="14" fontId="0" fillId="0" borderId="0" xfId="0" applyNumberFormat="1" applyFill="1" applyBorder="1"/>
    <xf numFmtId="14" fontId="2" fillId="0" borderId="0" xfId="0" applyNumberFormat="1" applyFont="1" applyFill="1" applyBorder="1"/>
    <xf numFmtId="0" fontId="0" fillId="0" borderId="0" xfId="0" applyBorder="1"/>
    <xf numFmtId="14" fontId="0" fillId="0" borderId="1" xfId="0" applyNumberForma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0" xfId="5" applyFont="1" applyBorder="1"/>
    <xf numFmtId="165" fontId="4" fillId="0" borderId="0" xfId="5" applyFont="1" applyFill="1" applyBorder="1"/>
    <xf numFmtId="165" fontId="0" fillId="0" borderId="0" xfId="5" applyFont="1" applyFill="1" applyBorder="1"/>
    <xf numFmtId="0" fontId="2" fillId="0" borderId="0" xfId="0" applyFont="1" applyBorder="1"/>
    <xf numFmtId="165" fontId="0" fillId="2" borderId="7" xfId="0" applyNumberFormat="1" applyFill="1" applyBorder="1"/>
    <xf numFmtId="165" fontId="2" fillId="0" borderId="1" xfId="5" applyFont="1" applyFill="1" applyBorder="1" applyAlignment="1">
      <alignment horizontal="center"/>
    </xf>
    <xf numFmtId="165" fontId="0" fillId="0" borderId="0" xfId="5" applyFont="1" applyFill="1" applyAlignment="1">
      <alignment horizontal="center"/>
    </xf>
    <xf numFmtId="165" fontId="0" fillId="0" borderId="0" xfId="5" applyFont="1" applyAlignment="1">
      <alignment horizontal="center"/>
    </xf>
    <xf numFmtId="43" fontId="3" fillId="3" borderId="3" xfId="0" applyNumberFormat="1" applyFont="1" applyFill="1" applyBorder="1" applyAlignment="1"/>
    <xf numFmtId="43" fontId="0" fillId="0" borderId="0" xfId="0" applyNumberFormat="1" applyFill="1" applyBorder="1"/>
    <xf numFmtId="164" fontId="3" fillId="2" borderId="1" xfId="1" applyFont="1" applyFill="1" applyBorder="1" applyAlignment="1">
      <alignment horizontal="center" vertical="center" wrapText="1"/>
    </xf>
    <xf numFmtId="164" fontId="2" fillId="0" borderId="1" xfId="1" applyFont="1" applyFill="1" applyBorder="1"/>
    <xf numFmtId="164" fontId="0" fillId="0" borderId="0" xfId="1" applyFont="1"/>
    <xf numFmtId="165" fontId="8" fillId="0" borderId="1" xfId="5" applyFont="1" applyFill="1" applyBorder="1"/>
    <xf numFmtId="0" fontId="2" fillId="0" borderId="1" xfId="0" applyNumberFormat="1" applyFont="1" applyFill="1" applyBorder="1"/>
    <xf numFmtId="165" fontId="9" fillId="0" borderId="1" xfId="5" applyFont="1" applyFill="1" applyBorder="1"/>
    <xf numFmtId="165" fontId="2" fillId="0" borderId="0" xfId="5" applyFont="1" applyFill="1" applyBorder="1"/>
    <xf numFmtId="0" fontId="5" fillId="0" borderId="1" xfId="0" applyFont="1" applyFill="1" applyBorder="1"/>
    <xf numFmtId="43" fontId="3" fillId="3" borderId="4" xfId="0" applyNumberFormat="1" applyFont="1" applyFill="1" applyBorder="1" applyAlignment="1"/>
    <xf numFmtId="0" fontId="11" fillId="5" borderId="13" xfId="5" applyNumberFormat="1" applyFont="1" applyFill="1" applyBorder="1" applyAlignment="1"/>
    <xf numFmtId="165" fontId="11" fillId="5" borderId="14" xfId="5" applyFont="1" applyFill="1" applyBorder="1" applyAlignment="1"/>
    <xf numFmtId="0" fontId="11" fillId="5" borderId="17" xfId="0" applyFont="1" applyFill="1" applyBorder="1" applyAlignment="1">
      <alignment horizontal="center" vertical="center" wrapText="1"/>
    </xf>
    <xf numFmtId="0" fontId="11" fillId="5" borderId="18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/>
    <xf numFmtId="0" fontId="3" fillId="7" borderId="12" xfId="0" applyFont="1" applyFill="1" applyBorder="1" applyAlignment="1"/>
    <xf numFmtId="0" fontId="2" fillId="7" borderId="20" xfId="0" applyFont="1" applyFill="1" applyBorder="1"/>
    <xf numFmtId="0" fontId="2" fillId="7" borderId="5" xfId="0" applyFont="1" applyFill="1" applyBorder="1"/>
    <xf numFmtId="19" fontId="0" fillId="0" borderId="1" xfId="0" applyNumberFormat="1" applyFill="1" applyBorder="1" applyAlignment="1">
      <alignment horizontal="center"/>
    </xf>
    <xf numFmtId="43" fontId="0" fillId="0" borderId="0" xfId="0" applyNumberFormat="1" applyBorder="1"/>
    <xf numFmtId="0" fontId="1" fillId="0" borderId="2" xfId="0" applyFont="1" applyFill="1" applyBorder="1"/>
    <xf numFmtId="165" fontId="1" fillId="0" borderId="1" xfId="5" applyFont="1" applyFill="1" applyBorder="1"/>
    <xf numFmtId="0" fontId="1" fillId="0" borderId="0" xfId="0" applyFont="1"/>
    <xf numFmtId="165" fontId="1" fillId="0" borderId="1" xfId="5" applyFont="1" applyFill="1" applyBorder="1" applyAlignment="1">
      <alignment horizontal="center"/>
    </xf>
    <xf numFmtId="165" fontId="13" fillId="6" borderId="13" xfId="5" applyFont="1" applyFill="1" applyBorder="1" applyAlignment="1">
      <alignment vertical="center"/>
    </xf>
    <xf numFmtId="165" fontId="13" fillId="6" borderId="14" xfId="5" applyFont="1" applyFill="1" applyBorder="1" applyAlignment="1">
      <alignment vertical="center"/>
    </xf>
    <xf numFmtId="14" fontId="3" fillId="2" borderId="1" xfId="0" applyNumberFormat="1" applyFont="1" applyFill="1" applyBorder="1" applyAlignment="1">
      <alignment horizontal="center" vertical="center" wrapText="1"/>
    </xf>
    <xf numFmtId="165" fontId="0" fillId="3" borderId="1" xfId="5" applyFont="1" applyFill="1" applyBorder="1"/>
    <xf numFmtId="165" fontId="0" fillId="3" borderId="10" xfId="5" applyFont="1" applyFill="1" applyBorder="1"/>
    <xf numFmtId="165" fontId="0" fillId="3" borderId="11" xfId="5" applyFont="1" applyFill="1" applyBorder="1"/>
    <xf numFmtId="165" fontId="0" fillId="3" borderId="8" xfId="5" applyFont="1" applyFill="1" applyBorder="1"/>
    <xf numFmtId="0" fontId="0" fillId="9" borderId="0" xfId="0" applyFill="1"/>
    <xf numFmtId="43" fontId="3" fillId="8" borderId="4" xfId="0" applyNumberFormat="1" applyFont="1" applyFill="1" applyBorder="1" applyAlignment="1"/>
    <xf numFmtId="43" fontId="3" fillId="8" borderId="3" xfId="0" applyNumberFormat="1" applyFont="1" applyFill="1" applyBorder="1" applyAlignment="1"/>
    <xf numFmtId="165" fontId="0" fillId="2" borderId="23" xfId="0" applyNumberFormat="1" applyFill="1" applyBorder="1"/>
    <xf numFmtId="0" fontId="3" fillId="2" borderId="6" xfId="0" applyFont="1" applyFill="1" applyBorder="1" applyAlignment="1"/>
    <xf numFmtId="0" fontId="3" fillId="8" borderId="13" xfId="0" applyFont="1" applyFill="1" applyBorder="1" applyAlignment="1"/>
    <xf numFmtId="0" fontId="3" fillId="2" borderId="0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/>
    </xf>
    <xf numFmtId="0" fontId="12" fillId="6" borderId="13" xfId="0" applyFont="1" applyFill="1" applyBorder="1" applyAlignment="1">
      <alignment horizontal="center" vertical="center"/>
    </xf>
    <xf numFmtId="0" fontId="12" fillId="6" borderId="23" xfId="0" applyFont="1" applyFill="1" applyBorder="1" applyAlignment="1">
      <alignment horizontal="center" vertical="center"/>
    </xf>
    <xf numFmtId="0" fontId="12" fillId="6" borderId="14" xfId="0" applyFont="1" applyFill="1" applyBorder="1" applyAlignment="1">
      <alignment horizontal="center" vertical="center"/>
    </xf>
    <xf numFmtId="165" fontId="14" fillId="6" borderId="15" xfId="5" applyFont="1" applyFill="1" applyBorder="1" applyAlignment="1">
      <alignment horizontal="center" vertical="center" wrapText="1"/>
    </xf>
    <xf numFmtId="165" fontId="14" fillId="6" borderId="16" xfId="5" applyFont="1" applyFill="1" applyBorder="1" applyAlignment="1">
      <alignment horizontal="center" vertical="center" wrapText="1"/>
    </xf>
    <xf numFmtId="165" fontId="13" fillId="6" borderId="13" xfId="5" applyFont="1" applyFill="1" applyBorder="1" applyAlignment="1">
      <alignment horizontal="center" vertical="center" wrapText="1"/>
    </xf>
    <xf numFmtId="165" fontId="13" fillId="6" borderId="14" xfId="5" applyFont="1" applyFill="1" applyBorder="1" applyAlignment="1">
      <alignment horizontal="center" vertical="center" wrapText="1"/>
    </xf>
    <xf numFmtId="165" fontId="11" fillId="5" borderId="13" xfId="5" applyFont="1" applyFill="1" applyBorder="1" applyAlignment="1">
      <alignment horizontal="center"/>
    </xf>
    <xf numFmtId="165" fontId="11" fillId="5" borderId="14" xfId="5" applyFont="1" applyFill="1" applyBorder="1" applyAlignment="1">
      <alignment horizontal="center"/>
    </xf>
    <xf numFmtId="0" fontId="11" fillId="5" borderId="13" xfId="5" applyNumberFormat="1" applyFont="1" applyFill="1" applyBorder="1" applyAlignment="1">
      <alignment horizontal="center"/>
    </xf>
    <xf numFmtId="0" fontId="11" fillId="5" borderId="14" xfId="5" applyNumberFormat="1" applyFont="1" applyFill="1" applyBorder="1" applyAlignment="1">
      <alignment horizontal="center"/>
    </xf>
    <xf numFmtId="165" fontId="12" fillId="6" borderId="21" xfId="5" applyFont="1" applyFill="1" applyBorder="1" applyAlignment="1">
      <alignment horizontal="center" vertical="center"/>
    </xf>
    <xf numFmtId="165" fontId="12" fillId="6" borderId="22" xfId="5" applyFont="1" applyFill="1" applyBorder="1" applyAlignment="1">
      <alignment horizontal="center" vertical="center"/>
    </xf>
  </cellXfs>
  <cellStyles count="7">
    <cellStyle name="Moeda" xfId="1" builtinId="4"/>
    <cellStyle name="Moeda 2" xfId="2" xr:uid="{00000000-0005-0000-0000-000001000000}"/>
    <cellStyle name="Normal" xfId="0" builtinId="0"/>
    <cellStyle name="Normal 2" xfId="3" xr:uid="{00000000-0005-0000-0000-000003000000}"/>
    <cellStyle name="Porcentagem 2" xfId="4" xr:uid="{00000000-0005-0000-0000-000004000000}"/>
    <cellStyle name="Vírgula" xfId="5" builtinId="3"/>
    <cellStyle name="Vírgula 2" xfId="6" xr:uid="{00000000-0005-0000-0000-000006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245534</xdr:colOff>
      <xdr:row>0</xdr:row>
      <xdr:rowOff>50800</xdr:rowOff>
    </xdr:from>
    <xdr:to>
      <xdr:col>17</xdr:col>
      <xdr:colOff>296334</xdr:colOff>
      <xdr:row>1</xdr:row>
      <xdr:rowOff>143934</xdr:rowOff>
    </xdr:to>
    <xdr:sp macro="[0]!Mostrar.Most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2D699A9-B779-48D0-9C30-E36E74091D06}"/>
            </a:ext>
          </a:extLst>
        </xdr:cNvPr>
        <xdr:cNvSpPr/>
      </xdr:nvSpPr>
      <xdr:spPr>
        <a:xfrm>
          <a:off x="12149667" y="50800"/>
          <a:ext cx="1270000" cy="26246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Novo Lançamento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R125"/>
  <sheetViews>
    <sheetView showGridLines="0" tabSelected="1" zoomScaleNormal="100" workbookViewId="0">
      <pane ySplit="2" topLeftCell="A3" activePane="bottomLeft" state="frozen"/>
      <selection sqref="A1:C1"/>
      <selection pane="bottomLeft" sqref="A1:A2"/>
    </sheetView>
  </sheetViews>
  <sheetFormatPr defaultRowHeight="13.2" outlineLevelCol="1" x14ac:dyDescent="0.25"/>
  <cols>
    <col min="1" max="1" width="10.109375" style="23" bestFit="1" customWidth="1"/>
    <col min="2" max="2" width="39.109375" hidden="1" customWidth="1" outlineLevel="1"/>
    <col min="3" max="6" width="20" style="3" hidden="1" customWidth="1" outlineLevel="1"/>
    <col min="7" max="7" width="4.109375" style="3" customWidth="1" collapsed="1"/>
    <col min="8" max="8" width="8.88671875" hidden="1" customWidth="1"/>
    <col min="9" max="9" width="4.109375" style="3" hidden="1" customWidth="1"/>
    <col min="10" max="10" width="10.109375" style="17" bestFit="1" customWidth="1"/>
    <col min="11" max="11" width="48.44140625" customWidth="1"/>
    <col min="12" max="12" width="20" style="39" customWidth="1"/>
    <col min="13" max="13" width="16.44140625" style="7" customWidth="1"/>
    <col min="14" max="14" width="28" style="34" bestFit="1" customWidth="1"/>
    <col min="15" max="15" width="20" style="3" customWidth="1"/>
    <col min="16" max="16" width="8.88671875" customWidth="1"/>
  </cols>
  <sheetData>
    <row r="1" spans="1:18" x14ac:dyDescent="0.25">
      <c r="A1" s="74" t="s">
        <v>33</v>
      </c>
      <c r="B1" s="75" t="s">
        <v>51</v>
      </c>
      <c r="C1" s="75"/>
      <c r="D1" s="75"/>
      <c r="E1" s="75"/>
      <c r="F1" s="75"/>
      <c r="H1" s="59" t="s">
        <v>50</v>
      </c>
      <c r="I1" s="28"/>
      <c r="J1" s="75" t="s">
        <v>14</v>
      </c>
      <c r="K1" s="75"/>
      <c r="L1" s="75"/>
      <c r="M1" s="75"/>
      <c r="N1" s="75"/>
      <c r="O1" s="75"/>
    </row>
    <row r="2" spans="1:18" x14ac:dyDescent="0.25">
      <c r="A2" s="74"/>
      <c r="B2" s="13" t="s">
        <v>10</v>
      </c>
      <c r="C2" s="14" t="s">
        <v>11</v>
      </c>
      <c r="D2" s="14" t="s">
        <v>39</v>
      </c>
      <c r="E2" s="14" t="s">
        <v>38</v>
      </c>
      <c r="F2" s="14" t="s">
        <v>12</v>
      </c>
      <c r="H2" s="59" t="s">
        <v>48</v>
      </c>
      <c r="I2" s="28"/>
      <c r="J2" s="63" t="s">
        <v>9</v>
      </c>
      <c r="K2" s="13" t="s">
        <v>10</v>
      </c>
      <c r="L2" s="37" t="s">
        <v>11</v>
      </c>
      <c r="M2" s="14" t="s">
        <v>35</v>
      </c>
      <c r="N2" s="14" t="s">
        <v>38</v>
      </c>
      <c r="O2" s="14" t="s">
        <v>12</v>
      </c>
    </row>
    <row r="3" spans="1:18" x14ac:dyDescent="0.25">
      <c r="A3" s="21"/>
      <c r="B3" s="57"/>
      <c r="C3" s="10"/>
      <c r="D3" s="10"/>
      <c r="E3" s="10"/>
      <c r="F3" s="15"/>
      <c r="H3" s="59"/>
      <c r="I3" s="28"/>
      <c r="J3" s="25"/>
      <c r="K3" s="9"/>
      <c r="L3" s="38"/>
      <c r="M3" s="11"/>
      <c r="N3" s="60"/>
      <c r="O3" s="10"/>
    </row>
    <row r="4" spans="1:18" x14ac:dyDescent="0.25">
      <c r="A4" s="21"/>
      <c r="B4" s="18"/>
      <c r="C4" s="10"/>
      <c r="D4" s="10"/>
      <c r="E4" s="10"/>
      <c r="F4" s="15"/>
      <c r="I4" s="28"/>
      <c r="J4" s="25"/>
      <c r="K4" s="18"/>
      <c r="L4" s="38"/>
      <c r="M4" s="11"/>
      <c r="N4" s="32"/>
      <c r="O4" s="10"/>
    </row>
    <row r="5" spans="1:18" x14ac:dyDescent="0.25">
      <c r="A5" s="21"/>
      <c r="B5" s="18"/>
      <c r="C5" s="10"/>
      <c r="D5" s="10"/>
      <c r="E5" s="10"/>
      <c r="F5" s="15"/>
      <c r="J5" s="25"/>
      <c r="K5" s="9"/>
      <c r="L5" s="38"/>
      <c r="M5" s="11"/>
      <c r="N5" s="32"/>
      <c r="O5" s="10"/>
    </row>
    <row r="6" spans="1:18" x14ac:dyDescent="0.25">
      <c r="A6" s="21"/>
      <c r="B6" s="18"/>
      <c r="C6" s="10"/>
      <c r="D6" s="10"/>
      <c r="E6" s="10"/>
      <c r="F6" s="15"/>
      <c r="H6" s="1"/>
      <c r="J6" s="24"/>
      <c r="K6" s="9"/>
      <c r="L6" s="38"/>
      <c r="M6" s="11"/>
      <c r="N6" s="32"/>
      <c r="O6" s="10"/>
    </row>
    <row r="7" spans="1:18" x14ac:dyDescent="0.25">
      <c r="A7" s="22"/>
      <c r="B7" s="18"/>
      <c r="C7" s="10"/>
      <c r="D7" s="10"/>
      <c r="E7" s="58"/>
      <c r="F7" s="15"/>
      <c r="H7" s="1"/>
      <c r="J7" s="25"/>
      <c r="K7" s="9"/>
      <c r="L7" s="38"/>
      <c r="M7" s="11"/>
      <c r="N7" s="32"/>
      <c r="O7" s="10"/>
    </row>
    <row r="8" spans="1:18" x14ac:dyDescent="0.25">
      <c r="A8" s="22"/>
      <c r="B8" s="57"/>
      <c r="C8" s="10"/>
      <c r="D8" s="10"/>
      <c r="E8" s="10"/>
      <c r="F8" s="15"/>
      <c r="H8" s="1"/>
      <c r="J8" s="25"/>
      <c r="K8" s="9"/>
      <c r="L8" s="38"/>
      <c r="M8" s="11"/>
      <c r="N8" s="32"/>
      <c r="O8" s="10"/>
      <c r="Q8" s="56"/>
      <c r="R8" s="23"/>
    </row>
    <row r="9" spans="1:18" x14ac:dyDescent="0.25">
      <c r="A9" s="36"/>
      <c r="B9" s="57"/>
      <c r="C9" s="10"/>
      <c r="D9" s="10"/>
      <c r="E9" s="10"/>
      <c r="F9" s="15"/>
      <c r="G9"/>
      <c r="H9" s="1"/>
      <c r="J9" s="24"/>
      <c r="K9" s="9"/>
      <c r="L9" s="38"/>
      <c r="M9" s="11"/>
      <c r="N9" s="32"/>
      <c r="O9" s="42"/>
      <c r="Q9" s="6"/>
    </row>
    <row r="10" spans="1:18" x14ac:dyDescent="0.25">
      <c r="A10" s="21"/>
      <c r="B10" s="57"/>
      <c r="C10" s="58"/>
      <c r="D10" s="58"/>
      <c r="E10" s="58"/>
      <c r="F10" s="15"/>
      <c r="G10"/>
      <c r="H10" s="1"/>
      <c r="J10" s="24"/>
      <c r="K10" s="9"/>
      <c r="L10" s="38"/>
      <c r="M10" s="11"/>
      <c r="N10" s="32"/>
      <c r="O10" s="2"/>
      <c r="Q10" s="6"/>
      <c r="R10" s="23"/>
    </row>
    <row r="11" spans="1:18" x14ac:dyDescent="0.25">
      <c r="A11" s="43"/>
      <c r="B11" s="18"/>
      <c r="C11" s="10"/>
      <c r="D11" s="10"/>
      <c r="E11" s="10"/>
      <c r="F11" s="15"/>
      <c r="G11"/>
      <c r="H11" s="1"/>
      <c r="J11" s="24"/>
      <c r="K11" s="9"/>
      <c r="L11" s="38"/>
      <c r="M11" s="11"/>
      <c r="N11" s="32"/>
      <c r="O11" s="2"/>
      <c r="Q11" s="23"/>
      <c r="R11" s="23"/>
    </row>
    <row r="12" spans="1:18" ht="13.2" customHeight="1" x14ac:dyDescent="0.25">
      <c r="A12" s="29"/>
      <c r="B12" s="18"/>
      <c r="C12" s="10"/>
      <c r="D12" s="10"/>
      <c r="E12" s="10"/>
      <c r="F12" s="10"/>
      <c r="G12"/>
      <c r="H12" s="1"/>
      <c r="J12" s="24"/>
      <c r="K12" s="9"/>
      <c r="L12" s="38"/>
      <c r="M12" s="11"/>
      <c r="N12" s="32"/>
      <c r="O12" s="10"/>
      <c r="Q12" s="30"/>
      <c r="R12" s="23"/>
    </row>
    <row r="13" spans="1:18" ht="13.2" customHeight="1" x14ac:dyDescent="0.25">
      <c r="A13" s="36"/>
      <c r="B13" s="18"/>
      <c r="C13" s="10"/>
      <c r="D13" s="10"/>
      <c r="E13" s="10"/>
      <c r="F13" s="10"/>
      <c r="G13"/>
      <c r="H13" s="1"/>
      <c r="J13" s="24"/>
      <c r="K13" s="9"/>
      <c r="L13" s="38"/>
      <c r="M13" s="11"/>
      <c r="N13" s="32"/>
      <c r="O13" s="10"/>
      <c r="Q13" s="30"/>
      <c r="R13" s="23"/>
    </row>
    <row r="14" spans="1:18" x14ac:dyDescent="0.25">
      <c r="A14" s="21"/>
      <c r="B14" s="18"/>
      <c r="C14" s="10"/>
      <c r="D14" s="10"/>
      <c r="E14" s="10"/>
      <c r="F14" s="10"/>
      <c r="G14"/>
      <c r="H14" s="1"/>
      <c r="J14" s="25"/>
      <c r="K14" s="9"/>
      <c r="L14" s="38"/>
      <c r="M14" s="11"/>
      <c r="N14" s="32"/>
      <c r="O14" s="10"/>
      <c r="Q14" s="23"/>
      <c r="R14" s="23"/>
    </row>
    <row r="15" spans="1:18" x14ac:dyDescent="0.25">
      <c r="A15" s="21"/>
      <c r="B15" s="18"/>
      <c r="C15" s="10"/>
      <c r="D15" s="10"/>
      <c r="E15" s="10"/>
      <c r="F15" s="10"/>
      <c r="G15"/>
      <c r="H15" s="1"/>
      <c r="J15" s="25"/>
      <c r="K15" s="9"/>
      <c r="L15" s="38"/>
      <c r="M15" s="11"/>
      <c r="N15" s="32"/>
      <c r="O15" s="10"/>
      <c r="Q15" s="23"/>
      <c r="R15" s="23"/>
    </row>
    <row r="16" spans="1:18" x14ac:dyDescent="0.25">
      <c r="A16" s="21"/>
      <c r="B16" s="18"/>
      <c r="C16" s="10"/>
      <c r="D16" s="10"/>
      <c r="E16" s="10"/>
      <c r="F16" s="10"/>
      <c r="G16"/>
      <c r="H16" s="1"/>
      <c r="J16" s="25"/>
      <c r="K16" s="9"/>
      <c r="L16" s="38"/>
      <c r="M16" s="11"/>
      <c r="N16" s="32"/>
      <c r="O16" s="10"/>
      <c r="Q16" s="23"/>
      <c r="R16" s="23"/>
    </row>
    <row r="17" spans="1:15" x14ac:dyDescent="0.25">
      <c r="A17" s="36"/>
      <c r="B17" s="18"/>
      <c r="C17" s="10"/>
      <c r="D17" s="10"/>
      <c r="E17" s="10"/>
      <c r="F17" s="10"/>
      <c r="G17"/>
      <c r="H17" s="1"/>
      <c r="J17" s="25"/>
      <c r="K17" s="9"/>
      <c r="L17" s="38"/>
      <c r="M17" s="11"/>
      <c r="N17" s="32"/>
      <c r="O17" s="10"/>
    </row>
    <row r="18" spans="1:15" x14ac:dyDescent="0.25">
      <c r="A18" s="21"/>
      <c r="B18" s="18"/>
      <c r="C18" s="10"/>
      <c r="D18" s="10"/>
      <c r="E18" s="10"/>
      <c r="F18" s="15"/>
      <c r="G18" s="28"/>
      <c r="H18" s="1"/>
      <c r="J18" s="25"/>
      <c r="K18" s="9"/>
      <c r="L18" s="38"/>
      <c r="M18" s="11"/>
      <c r="N18" s="32"/>
      <c r="O18" s="10"/>
    </row>
    <row r="19" spans="1:15" x14ac:dyDescent="0.25">
      <c r="A19" s="21"/>
      <c r="B19" s="18"/>
      <c r="C19" s="10"/>
      <c r="D19" s="10"/>
      <c r="E19" s="10"/>
      <c r="F19" s="10"/>
      <c r="G19" s="28"/>
      <c r="J19" s="24"/>
      <c r="K19" s="44"/>
      <c r="L19" s="38"/>
      <c r="M19" s="11"/>
      <c r="N19" s="32"/>
      <c r="O19" s="15"/>
    </row>
    <row r="20" spans="1:15" x14ac:dyDescent="0.25">
      <c r="A20" s="21"/>
      <c r="B20" s="18"/>
      <c r="C20" s="10"/>
      <c r="D20" s="10"/>
      <c r="E20" s="10"/>
      <c r="F20" s="15"/>
      <c r="G20" s="28"/>
      <c r="J20" s="24"/>
      <c r="K20" s="9"/>
      <c r="L20" s="38"/>
      <c r="M20" s="11"/>
      <c r="N20" s="32"/>
      <c r="O20" s="15"/>
    </row>
    <row r="21" spans="1:15" x14ac:dyDescent="0.25">
      <c r="A21" s="21"/>
      <c r="B21" s="18"/>
      <c r="C21" s="10"/>
      <c r="D21" s="10"/>
      <c r="E21" s="10"/>
      <c r="F21" s="15"/>
      <c r="G21" s="28"/>
      <c r="H21" s="30"/>
      <c r="J21" s="55"/>
      <c r="K21" s="9"/>
      <c r="L21" s="38"/>
      <c r="M21" s="11"/>
      <c r="N21" s="32"/>
      <c r="O21" s="15"/>
    </row>
    <row r="22" spans="1:15" x14ac:dyDescent="0.25">
      <c r="A22" s="21"/>
      <c r="B22" s="18"/>
      <c r="C22" s="10"/>
      <c r="D22" s="10"/>
      <c r="E22" s="10"/>
      <c r="F22" s="15"/>
      <c r="G22" s="28"/>
      <c r="H22" s="30"/>
      <c r="J22" s="24"/>
      <c r="K22" s="9"/>
      <c r="L22" s="38"/>
      <c r="M22" s="11"/>
      <c r="N22" s="32"/>
      <c r="O22" s="15"/>
    </row>
    <row r="23" spans="1:15" x14ac:dyDescent="0.25">
      <c r="A23" s="21"/>
      <c r="B23" s="18"/>
      <c r="C23" s="10"/>
      <c r="D23" s="10"/>
      <c r="E23" s="10"/>
      <c r="F23" s="15"/>
      <c r="G23" s="28"/>
      <c r="H23" s="30"/>
      <c r="J23" s="24"/>
      <c r="K23" s="9"/>
      <c r="L23" s="38"/>
      <c r="M23" s="11"/>
      <c r="N23" s="32"/>
      <c r="O23" s="15"/>
    </row>
    <row r="24" spans="1:15" x14ac:dyDescent="0.25">
      <c r="A24" s="21"/>
      <c r="B24" s="18"/>
      <c r="C24" s="2"/>
      <c r="D24" s="10"/>
      <c r="E24" s="10"/>
      <c r="F24" s="2"/>
      <c r="G24" s="29"/>
      <c r="H24" s="30"/>
      <c r="J24" s="24"/>
      <c r="K24" s="9"/>
      <c r="L24" s="38"/>
      <c r="M24" s="11"/>
      <c r="N24" s="32"/>
      <c r="O24" s="15"/>
    </row>
    <row r="25" spans="1:15" x14ac:dyDescent="0.25">
      <c r="A25" s="21"/>
      <c r="B25" s="18"/>
      <c r="C25" s="2"/>
      <c r="D25" s="10"/>
      <c r="E25" s="10"/>
      <c r="F25" s="2"/>
      <c r="G25" s="29"/>
      <c r="H25" s="30"/>
      <c r="J25" s="24"/>
      <c r="K25" s="9"/>
      <c r="L25" s="38"/>
      <c r="M25" s="11"/>
      <c r="N25" s="32"/>
      <c r="O25" s="40"/>
    </row>
    <row r="26" spans="1:15" x14ac:dyDescent="0.25">
      <c r="A26" s="21"/>
      <c r="B26" s="18"/>
      <c r="C26" s="2"/>
      <c r="D26" s="10"/>
      <c r="E26" s="10"/>
      <c r="F26" s="2"/>
      <c r="H26" s="30"/>
      <c r="J26" s="24"/>
      <c r="K26" s="9"/>
      <c r="L26" s="38"/>
      <c r="M26" s="11"/>
      <c r="N26" s="32"/>
      <c r="O26" s="40"/>
    </row>
    <row r="27" spans="1:15" x14ac:dyDescent="0.25">
      <c r="A27" s="21"/>
      <c r="B27" s="18"/>
      <c r="C27" s="2"/>
      <c r="D27" s="10"/>
      <c r="E27" s="10"/>
      <c r="F27" s="2"/>
      <c r="H27" s="30"/>
      <c r="J27" s="24"/>
      <c r="K27" s="9"/>
      <c r="L27" s="38"/>
      <c r="M27" s="11"/>
      <c r="N27" s="32"/>
      <c r="O27" s="40"/>
    </row>
    <row r="28" spans="1:15" x14ac:dyDescent="0.25">
      <c r="A28" s="21"/>
      <c r="B28" s="18"/>
      <c r="C28" s="2"/>
      <c r="D28" s="10"/>
      <c r="E28" s="10"/>
      <c r="F28" s="2"/>
      <c r="H28" s="30"/>
      <c r="J28" s="24"/>
      <c r="K28" s="9"/>
      <c r="L28" s="38"/>
      <c r="M28" s="11"/>
      <c r="N28" s="32"/>
      <c r="O28" s="40"/>
    </row>
    <row r="29" spans="1:15" x14ac:dyDescent="0.25">
      <c r="A29" s="21"/>
      <c r="B29" s="19"/>
      <c r="C29" s="2"/>
      <c r="D29" s="10"/>
      <c r="E29" s="10"/>
      <c r="F29" s="2"/>
      <c r="H29" s="30"/>
      <c r="J29" s="24"/>
      <c r="K29" s="41"/>
      <c r="L29" s="38"/>
      <c r="M29" s="11"/>
      <c r="N29" s="32"/>
      <c r="O29" s="2"/>
    </row>
    <row r="30" spans="1:15" x14ac:dyDescent="0.25">
      <c r="A30" s="21"/>
      <c r="B30" s="19"/>
      <c r="C30" s="2"/>
      <c r="D30" s="10"/>
      <c r="E30" s="10"/>
      <c r="F30" s="2"/>
      <c r="H30" s="30"/>
      <c r="J30" s="24"/>
      <c r="K30" s="16"/>
      <c r="L30" s="38"/>
      <c r="M30" s="11"/>
      <c r="N30" s="32"/>
      <c r="O30" s="2"/>
    </row>
    <row r="31" spans="1:15" x14ac:dyDescent="0.25">
      <c r="A31" s="21"/>
      <c r="B31" s="19"/>
      <c r="C31" s="2"/>
      <c r="D31" s="10"/>
      <c r="E31" s="10"/>
      <c r="F31" s="2"/>
      <c r="H31" s="30"/>
      <c r="J31" s="24"/>
      <c r="K31" s="16"/>
      <c r="L31" s="38"/>
      <c r="M31" s="11"/>
      <c r="N31" s="32"/>
      <c r="O31" s="2"/>
    </row>
    <row r="32" spans="1:15" x14ac:dyDescent="0.25">
      <c r="A32" s="21"/>
      <c r="B32" s="19"/>
      <c r="C32" s="2"/>
      <c r="D32" s="10"/>
      <c r="E32" s="10"/>
      <c r="F32" s="2"/>
      <c r="H32" s="30"/>
      <c r="J32" s="24"/>
      <c r="K32" s="16"/>
      <c r="L32" s="38"/>
      <c r="M32" s="11"/>
      <c r="N32" s="32"/>
      <c r="O32" s="2"/>
    </row>
    <row r="33" spans="1:15" x14ac:dyDescent="0.25">
      <c r="A33" s="21"/>
      <c r="B33" s="19"/>
      <c r="C33" s="2"/>
      <c r="D33" s="10"/>
      <c r="E33" s="10"/>
      <c r="F33" s="2"/>
      <c r="H33" s="30"/>
      <c r="J33" s="24"/>
      <c r="K33" s="16"/>
      <c r="L33" s="38"/>
      <c r="M33" s="11"/>
      <c r="N33" s="32"/>
      <c r="O33" s="2"/>
    </row>
    <row r="34" spans="1:15" x14ac:dyDescent="0.25">
      <c r="A34" s="21"/>
      <c r="B34" s="19"/>
      <c r="C34" s="2"/>
      <c r="D34" s="10"/>
      <c r="E34" s="10"/>
      <c r="F34" s="2"/>
      <c r="J34" s="24"/>
      <c r="K34" s="16"/>
      <c r="L34" s="38"/>
      <c r="M34" s="11"/>
      <c r="N34" s="32"/>
      <c r="O34" s="2"/>
    </row>
    <row r="35" spans="1:15" x14ac:dyDescent="0.25">
      <c r="A35" s="21"/>
      <c r="B35" s="18"/>
      <c r="C35" s="2"/>
      <c r="D35" s="10"/>
      <c r="E35" s="10"/>
      <c r="F35" s="2"/>
      <c r="J35" s="24"/>
      <c r="K35" s="9"/>
      <c r="L35" s="38"/>
      <c r="M35" s="11"/>
      <c r="N35" s="32"/>
      <c r="O35" s="2"/>
    </row>
    <row r="36" spans="1:15" x14ac:dyDescent="0.25">
      <c r="A36" s="21"/>
      <c r="B36" s="18"/>
      <c r="C36" s="2"/>
      <c r="D36" s="10"/>
      <c r="E36" s="10"/>
      <c r="F36" s="2"/>
      <c r="J36" s="24"/>
      <c r="K36" s="9"/>
      <c r="L36" s="38"/>
      <c r="M36" s="11"/>
      <c r="N36" s="32"/>
      <c r="O36" s="2"/>
    </row>
    <row r="37" spans="1:15" x14ac:dyDescent="0.25">
      <c r="A37" s="21"/>
      <c r="B37" s="18"/>
      <c r="C37" s="10"/>
      <c r="D37" s="10"/>
      <c r="E37" s="10"/>
      <c r="F37" s="15"/>
      <c r="G37" s="28"/>
      <c r="J37" s="24"/>
      <c r="K37" s="9"/>
      <c r="L37" s="38"/>
      <c r="M37" s="11"/>
      <c r="N37" s="32"/>
      <c r="O37" s="15"/>
    </row>
    <row r="38" spans="1:15" x14ac:dyDescent="0.25">
      <c r="A38" s="21"/>
      <c r="B38" s="18"/>
      <c r="C38" s="10"/>
      <c r="D38" s="10"/>
      <c r="E38" s="10"/>
      <c r="F38" s="4"/>
      <c r="G38" s="27"/>
      <c r="J38" s="24"/>
      <c r="K38" s="9"/>
      <c r="L38" s="38"/>
      <c r="M38" s="11"/>
      <c r="N38" s="32"/>
      <c r="O38" s="4"/>
    </row>
    <row r="39" spans="1:15" x14ac:dyDescent="0.25">
      <c r="A39" s="21"/>
      <c r="B39" s="18"/>
      <c r="C39" s="10"/>
      <c r="D39" s="10"/>
      <c r="E39" s="10"/>
      <c r="F39" s="4"/>
      <c r="G39" s="27"/>
      <c r="J39" s="24"/>
      <c r="K39" s="9"/>
      <c r="L39" s="38"/>
      <c r="M39" s="11"/>
      <c r="N39" s="32"/>
      <c r="O39" s="4"/>
    </row>
    <row r="40" spans="1:15" x14ac:dyDescent="0.25">
      <c r="A40" s="21"/>
      <c r="B40" s="18"/>
      <c r="C40" s="10"/>
      <c r="D40" s="10"/>
      <c r="E40" s="10"/>
      <c r="F40" s="2"/>
      <c r="G40" s="29"/>
      <c r="J40" s="24"/>
      <c r="K40" s="9"/>
      <c r="L40" s="38"/>
      <c r="M40" s="11"/>
      <c r="N40" s="32"/>
      <c r="O40" s="2"/>
    </row>
    <row r="41" spans="1:15" x14ac:dyDescent="0.25">
      <c r="A41" s="21"/>
      <c r="B41" s="18"/>
      <c r="C41" s="10"/>
      <c r="D41" s="10"/>
      <c r="E41" s="10"/>
      <c r="F41" s="2"/>
      <c r="G41" s="29"/>
      <c r="J41" s="24"/>
      <c r="K41" s="9"/>
      <c r="L41" s="38"/>
      <c r="M41" s="11"/>
      <c r="N41" s="32"/>
      <c r="O41" s="2"/>
    </row>
    <row r="42" spans="1:15" x14ac:dyDescent="0.25">
      <c r="A42" s="21"/>
      <c r="B42" s="18"/>
      <c r="C42" s="10"/>
      <c r="D42" s="10"/>
      <c r="E42" s="10"/>
      <c r="F42" s="2"/>
      <c r="G42" s="29"/>
      <c r="J42" s="24"/>
      <c r="K42" s="9"/>
      <c r="L42" s="38"/>
      <c r="M42" s="11"/>
      <c r="N42" s="32"/>
      <c r="O42" s="2"/>
    </row>
    <row r="43" spans="1:15" x14ac:dyDescent="0.25">
      <c r="A43" s="22"/>
      <c r="B43" s="18"/>
      <c r="C43" s="2"/>
      <c r="D43" s="10"/>
      <c r="E43" s="10"/>
      <c r="F43" s="2"/>
      <c r="G43" s="29"/>
      <c r="J43" s="25"/>
      <c r="K43" s="9"/>
      <c r="L43" s="38"/>
      <c r="M43" s="11"/>
      <c r="N43" s="32"/>
      <c r="O43" s="2"/>
    </row>
    <row r="44" spans="1:15" x14ac:dyDescent="0.25">
      <c r="A44" s="21"/>
      <c r="B44" s="18"/>
      <c r="C44" s="12"/>
      <c r="D44" s="10"/>
      <c r="E44" s="10"/>
      <c r="F44" s="2"/>
      <c r="G44" s="29"/>
      <c r="J44" s="24"/>
      <c r="K44" s="9"/>
      <c r="L44" s="38"/>
      <c r="M44" s="11"/>
      <c r="N44" s="32"/>
      <c r="O44" s="2"/>
    </row>
    <row r="45" spans="1:15" x14ac:dyDescent="0.25">
      <c r="A45" s="21"/>
      <c r="B45" s="18"/>
      <c r="C45" s="2"/>
      <c r="D45" s="10"/>
      <c r="E45" s="10"/>
      <c r="F45" s="2"/>
      <c r="G45" s="29"/>
      <c r="J45" s="24"/>
      <c r="K45" s="9"/>
      <c r="L45" s="38"/>
      <c r="M45" s="11"/>
      <c r="N45" s="32"/>
      <c r="O45" s="2"/>
    </row>
    <row r="46" spans="1:15" x14ac:dyDescent="0.25">
      <c r="A46" s="21"/>
      <c r="B46" s="18"/>
      <c r="C46" s="2"/>
      <c r="D46" s="10"/>
      <c r="E46" s="10"/>
      <c r="F46" s="2"/>
      <c r="G46" s="29"/>
      <c r="J46" s="24"/>
      <c r="K46" s="9"/>
      <c r="L46" s="38"/>
      <c r="M46" s="11"/>
      <c r="N46" s="32"/>
      <c r="O46" s="2"/>
    </row>
    <row r="47" spans="1:15" x14ac:dyDescent="0.25">
      <c r="A47" s="21"/>
      <c r="B47" s="18"/>
      <c r="C47" s="2"/>
      <c r="D47" s="10"/>
      <c r="E47" s="10"/>
      <c r="F47" s="2"/>
      <c r="G47" s="29"/>
      <c r="J47" s="24"/>
      <c r="K47" s="9"/>
      <c r="L47" s="38"/>
      <c r="M47" s="11"/>
      <c r="N47" s="32"/>
      <c r="O47" s="2"/>
    </row>
    <row r="48" spans="1:15" x14ac:dyDescent="0.25">
      <c r="A48" s="21"/>
      <c r="B48" s="18"/>
      <c r="C48" s="2"/>
      <c r="D48" s="10"/>
      <c r="E48" s="10"/>
      <c r="F48" s="2"/>
      <c r="G48" s="29"/>
      <c r="J48" s="24"/>
      <c r="K48" s="9"/>
      <c r="L48" s="38"/>
      <c r="M48" s="11"/>
      <c r="N48" s="32"/>
      <c r="O48" s="2"/>
    </row>
    <row r="49" spans="1:15" x14ac:dyDescent="0.25">
      <c r="A49" s="21"/>
      <c r="B49" s="18"/>
      <c r="C49" s="2"/>
      <c r="D49" s="10"/>
      <c r="E49" s="10"/>
      <c r="F49" s="2"/>
      <c r="G49" s="29"/>
      <c r="J49" s="24"/>
      <c r="K49" s="9"/>
      <c r="L49" s="38"/>
      <c r="M49" s="11"/>
      <c r="N49" s="32"/>
      <c r="O49" s="2"/>
    </row>
    <row r="50" spans="1:15" x14ac:dyDescent="0.25">
      <c r="A50" s="21"/>
      <c r="B50" s="18"/>
      <c r="C50" s="2"/>
      <c r="D50" s="10"/>
      <c r="E50" s="10"/>
      <c r="F50" s="2"/>
      <c r="G50" s="29"/>
      <c r="J50" s="24"/>
      <c r="K50" s="9"/>
      <c r="L50" s="38"/>
      <c r="M50" s="11"/>
      <c r="N50" s="32"/>
      <c r="O50" s="2"/>
    </row>
    <row r="51" spans="1:15" x14ac:dyDescent="0.25">
      <c r="A51" s="21"/>
      <c r="B51" s="18"/>
      <c r="C51" s="2"/>
      <c r="D51" s="10"/>
      <c r="E51" s="10"/>
      <c r="F51" s="2"/>
      <c r="G51" s="29"/>
      <c r="J51" s="24"/>
      <c r="K51" s="9"/>
      <c r="L51" s="38"/>
      <c r="M51" s="11"/>
      <c r="N51" s="32"/>
      <c r="O51" s="2"/>
    </row>
    <row r="52" spans="1:15" x14ac:dyDescent="0.25">
      <c r="A52" s="21"/>
      <c r="B52" s="18"/>
      <c r="C52" s="2"/>
      <c r="D52" s="10"/>
      <c r="E52" s="10"/>
      <c r="F52" s="2"/>
      <c r="G52" s="29"/>
      <c r="J52" s="24"/>
      <c r="K52" s="9"/>
      <c r="L52" s="38"/>
      <c r="M52" s="11"/>
      <c r="N52" s="32"/>
      <c r="O52" s="2"/>
    </row>
    <row r="53" spans="1:15" x14ac:dyDescent="0.25">
      <c r="A53" s="21"/>
      <c r="B53" s="18"/>
      <c r="C53" s="2"/>
      <c r="D53" s="10"/>
      <c r="E53" s="10"/>
      <c r="F53" s="2"/>
      <c r="G53" s="29"/>
      <c r="J53" s="24"/>
      <c r="K53" s="9"/>
      <c r="L53" s="38"/>
      <c r="M53" s="11"/>
      <c r="N53" s="32"/>
      <c r="O53" s="2"/>
    </row>
    <row r="54" spans="1:15" x14ac:dyDescent="0.25">
      <c r="A54" s="21"/>
      <c r="B54" s="18"/>
      <c r="C54" s="2"/>
      <c r="D54" s="10"/>
      <c r="E54" s="10"/>
      <c r="F54" s="2"/>
      <c r="G54" s="29"/>
      <c r="J54" s="24"/>
      <c r="K54" s="9"/>
      <c r="L54" s="38"/>
      <c r="M54" s="11"/>
      <c r="N54" s="32"/>
      <c r="O54" s="2"/>
    </row>
    <row r="55" spans="1:15" x14ac:dyDescent="0.25">
      <c r="A55" s="21"/>
      <c r="B55" s="18"/>
      <c r="C55" s="2"/>
      <c r="D55" s="10"/>
      <c r="E55" s="10"/>
      <c r="F55" s="2"/>
      <c r="G55" s="29"/>
      <c r="J55" s="24"/>
      <c r="K55" s="9"/>
      <c r="L55" s="38"/>
      <c r="M55" s="11"/>
      <c r="N55" s="32"/>
      <c r="O55" s="2"/>
    </row>
    <row r="56" spans="1:15" x14ac:dyDescent="0.25">
      <c r="A56" s="21"/>
      <c r="B56" s="18"/>
      <c r="C56" s="2"/>
      <c r="D56" s="10"/>
      <c r="E56" s="10"/>
      <c r="F56" s="2"/>
      <c r="G56" s="29"/>
      <c r="J56" s="24"/>
      <c r="K56" s="9"/>
      <c r="L56" s="38"/>
      <c r="M56" s="11"/>
      <c r="N56" s="32"/>
      <c r="O56" s="2"/>
    </row>
    <row r="57" spans="1:15" x14ac:dyDescent="0.25">
      <c r="A57" s="21"/>
      <c r="B57" s="18"/>
      <c r="C57" s="2"/>
      <c r="D57" s="10"/>
      <c r="E57" s="10"/>
      <c r="F57" s="2"/>
      <c r="G57" s="29"/>
      <c r="J57" s="24"/>
      <c r="K57" s="9"/>
      <c r="L57" s="38"/>
      <c r="M57" s="11"/>
      <c r="N57" s="32"/>
      <c r="O57" s="2"/>
    </row>
    <row r="58" spans="1:15" x14ac:dyDescent="0.25">
      <c r="A58" s="21"/>
      <c r="B58" s="18"/>
      <c r="C58" s="2"/>
      <c r="D58" s="10"/>
      <c r="E58" s="10"/>
      <c r="F58" s="2"/>
      <c r="G58" s="29"/>
      <c r="J58" s="24"/>
      <c r="K58" s="9"/>
      <c r="L58" s="38"/>
      <c r="M58" s="11"/>
      <c r="N58" s="32"/>
      <c r="O58" s="2"/>
    </row>
    <row r="59" spans="1:15" x14ac:dyDescent="0.25">
      <c r="A59" s="21"/>
      <c r="B59" s="18"/>
      <c r="C59" s="2"/>
      <c r="D59" s="10"/>
      <c r="E59" s="10"/>
      <c r="F59" s="2"/>
      <c r="G59" s="29"/>
      <c r="J59" s="24"/>
      <c r="K59" s="9"/>
      <c r="L59" s="38"/>
      <c r="M59" s="11"/>
      <c r="N59" s="32"/>
      <c r="O59" s="2"/>
    </row>
    <row r="60" spans="1:15" x14ac:dyDescent="0.25">
      <c r="A60" s="21"/>
      <c r="B60" s="18"/>
      <c r="C60" s="2"/>
      <c r="D60" s="10"/>
      <c r="E60" s="10"/>
      <c r="F60" s="2"/>
      <c r="G60" s="29"/>
      <c r="J60" s="24"/>
      <c r="K60" s="9"/>
      <c r="L60" s="38"/>
      <c r="M60" s="11"/>
      <c r="N60" s="32"/>
      <c r="O60" s="2"/>
    </row>
    <row r="61" spans="1:15" x14ac:dyDescent="0.25">
      <c r="A61" s="21"/>
      <c r="B61" s="18"/>
      <c r="C61" s="2"/>
      <c r="D61" s="10"/>
      <c r="E61" s="10"/>
      <c r="F61" s="2"/>
      <c r="G61" s="29"/>
      <c r="J61" s="24"/>
      <c r="K61" s="9"/>
      <c r="L61" s="38"/>
      <c r="M61" s="11"/>
      <c r="N61" s="32"/>
      <c r="O61" s="2"/>
    </row>
    <row r="62" spans="1:15" x14ac:dyDescent="0.25">
      <c r="A62" s="21"/>
      <c r="B62" s="18"/>
      <c r="C62" s="2"/>
      <c r="D62" s="10"/>
      <c r="E62" s="10"/>
      <c r="F62" s="2"/>
      <c r="G62" s="29"/>
      <c r="J62" s="24"/>
      <c r="K62" s="9"/>
      <c r="L62" s="38"/>
      <c r="M62" s="11"/>
      <c r="N62" s="32"/>
      <c r="O62" s="2"/>
    </row>
    <row r="63" spans="1:15" x14ac:dyDescent="0.25">
      <c r="A63" s="21"/>
      <c r="B63" s="18"/>
      <c r="C63" s="2"/>
      <c r="D63" s="10"/>
      <c r="E63" s="10"/>
      <c r="F63" s="2"/>
      <c r="G63" s="29"/>
      <c r="J63" s="24"/>
      <c r="K63" s="9"/>
      <c r="L63" s="38"/>
      <c r="M63" s="11"/>
      <c r="N63" s="32"/>
      <c r="O63" s="2"/>
    </row>
    <row r="64" spans="1:15" x14ac:dyDescent="0.25">
      <c r="A64" s="21"/>
      <c r="B64" s="18"/>
      <c r="C64" s="2"/>
      <c r="D64" s="10"/>
      <c r="E64" s="10"/>
      <c r="F64" s="2"/>
      <c r="G64" s="29"/>
      <c r="J64" s="24"/>
      <c r="K64" s="9"/>
      <c r="L64" s="38"/>
      <c r="M64" s="11"/>
      <c r="N64" s="32"/>
      <c r="O64" s="2"/>
    </row>
    <row r="65" spans="1:15" ht="14.4" customHeight="1" x14ac:dyDescent="0.25">
      <c r="A65" s="21"/>
      <c r="B65" s="18"/>
      <c r="C65" s="2"/>
      <c r="D65" s="10"/>
      <c r="E65" s="10"/>
      <c r="F65" s="2"/>
      <c r="G65" s="29"/>
      <c r="J65" s="24"/>
      <c r="K65" s="9"/>
      <c r="L65" s="38"/>
      <c r="M65" s="11"/>
      <c r="N65" s="32"/>
      <c r="O65" s="2"/>
    </row>
    <row r="66" spans="1:15" ht="14.4" customHeight="1" x14ac:dyDescent="0.25">
      <c r="A66" s="21"/>
      <c r="B66" s="18"/>
      <c r="C66" s="2"/>
      <c r="D66" s="10"/>
      <c r="E66" s="10"/>
      <c r="F66" s="2"/>
      <c r="G66" s="29"/>
      <c r="J66" s="24"/>
      <c r="K66" s="9"/>
      <c r="L66" s="38"/>
      <c r="M66" s="11"/>
      <c r="N66" s="32"/>
      <c r="O66" s="2"/>
    </row>
    <row r="67" spans="1:15" x14ac:dyDescent="0.25">
      <c r="A67" s="21"/>
      <c r="B67" s="18"/>
      <c r="C67" s="2"/>
      <c r="D67" s="10"/>
      <c r="E67" s="10"/>
      <c r="F67" s="2"/>
      <c r="G67" s="29"/>
      <c r="J67" s="24"/>
      <c r="K67" s="9"/>
      <c r="L67" s="38"/>
      <c r="M67" s="11"/>
      <c r="N67" s="32"/>
      <c r="O67" s="2"/>
    </row>
    <row r="68" spans="1:15" x14ac:dyDescent="0.25">
      <c r="A68" s="21"/>
      <c r="B68" s="18"/>
      <c r="C68" s="2"/>
      <c r="D68" s="10"/>
      <c r="E68" s="10"/>
      <c r="F68" s="2"/>
      <c r="G68" s="29"/>
      <c r="J68" s="24"/>
      <c r="K68" s="9"/>
      <c r="L68" s="38"/>
      <c r="M68" s="11"/>
      <c r="N68" s="32"/>
      <c r="O68" s="2"/>
    </row>
    <row r="69" spans="1:15" ht="13.2" customHeight="1" x14ac:dyDescent="0.25">
      <c r="A69" s="21"/>
      <c r="B69" s="18"/>
      <c r="C69" s="2"/>
      <c r="D69" s="10"/>
      <c r="E69" s="10"/>
      <c r="F69" s="2"/>
      <c r="G69" s="29"/>
      <c r="I69" s="29"/>
      <c r="J69" s="24"/>
      <c r="K69" s="9"/>
      <c r="L69" s="38"/>
      <c r="M69" s="11"/>
      <c r="N69" s="32"/>
      <c r="O69" s="2"/>
    </row>
    <row r="70" spans="1:15" ht="14.4" customHeight="1" x14ac:dyDescent="0.25">
      <c r="A70" s="21"/>
      <c r="B70" s="18"/>
      <c r="C70" s="2"/>
      <c r="D70" s="10"/>
      <c r="E70" s="10"/>
      <c r="F70" s="2"/>
      <c r="G70" s="29"/>
      <c r="I70" s="29"/>
      <c r="J70" s="24"/>
      <c r="K70" s="9"/>
      <c r="L70" s="38"/>
      <c r="M70" s="11"/>
      <c r="N70" s="32"/>
      <c r="O70" s="2"/>
    </row>
    <row r="71" spans="1:15" x14ac:dyDescent="0.25">
      <c r="A71" s="21"/>
      <c r="B71" s="18"/>
      <c r="C71" s="10"/>
      <c r="D71" s="10"/>
      <c r="E71" s="10"/>
      <c r="F71" s="2"/>
      <c r="G71" s="29"/>
      <c r="J71" s="24"/>
      <c r="K71" s="9"/>
      <c r="L71" s="38"/>
      <c r="M71" s="11"/>
      <c r="N71" s="32"/>
      <c r="O71" s="2"/>
    </row>
    <row r="72" spans="1:15" x14ac:dyDescent="0.25">
      <c r="A72" s="21"/>
      <c r="B72" s="18"/>
      <c r="C72" s="2"/>
      <c r="D72" s="10"/>
      <c r="E72" s="10"/>
      <c r="F72" s="2"/>
      <c r="G72" s="29"/>
      <c r="J72" s="24"/>
      <c r="K72" s="9"/>
      <c r="L72" s="38"/>
      <c r="M72" s="11"/>
      <c r="N72" s="32"/>
      <c r="O72" s="2"/>
    </row>
    <row r="73" spans="1:15" x14ac:dyDescent="0.25">
      <c r="A73" s="21"/>
      <c r="B73" s="18"/>
      <c r="C73" s="2"/>
      <c r="D73" s="10"/>
      <c r="E73" s="10"/>
      <c r="F73" s="2"/>
      <c r="G73" s="29"/>
      <c r="J73" s="24"/>
      <c r="K73" s="9"/>
      <c r="L73" s="38"/>
      <c r="M73" s="11"/>
      <c r="N73" s="32"/>
      <c r="O73" s="2"/>
    </row>
    <row r="74" spans="1:15" x14ac:dyDescent="0.25">
      <c r="A74" s="21"/>
      <c r="B74" s="18"/>
      <c r="C74" s="10"/>
      <c r="D74" s="10"/>
      <c r="E74" s="10"/>
      <c r="F74" s="2"/>
      <c r="G74" s="29"/>
      <c r="J74" s="24"/>
      <c r="K74" s="9"/>
      <c r="L74" s="38"/>
      <c r="M74" s="11"/>
      <c r="N74" s="32"/>
      <c r="O74" s="2"/>
    </row>
    <row r="75" spans="1:15" x14ac:dyDescent="0.25">
      <c r="A75" s="21"/>
      <c r="B75" s="18"/>
      <c r="C75" s="2"/>
      <c r="D75" s="10"/>
      <c r="E75" s="10"/>
      <c r="F75" s="2"/>
      <c r="G75" s="29"/>
      <c r="J75" s="24"/>
      <c r="K75" s="9"/>
      <c r="L75" s="38"/>
      <c r="M75" s="11"/>
      <c r="N75" s="32"/>
      <c r="O75" s="2"/>
    </row>
    <row r="76" spans="1:15" x14ac:dyDescent="0.25">
      <c r="A76" s="21"/>
      <c r="B76" s="18"/>
      <c r="C76" s="2"/>
      <c r="D76" s="10"/>
      <c r="E76" s="10"/>
      <c r="F76" s="2"/>
      <c r="G76" s="29"/>
      <c r="J76" s="24"/>
      <c r="K76" s="9"/>
      <c r="L76" s="38"/>
      <c r="M76" s="11"/>
      <c r="N76" s="32"/>
      <c r="O76" s="2"/>
    </row>
    <row r="77" spans="1:15" x14ac:dyDescent="0.25">
      <c r="A77" s="21"/>
      <c r="B77" s="18"/>
      <c r="C77" s="2"/>
      <c r="D77" s="10"/>
      <c r="E77" s="10"/>
      <c r="F77" s="2"/>
      <c r="G77" s="29"/>
      <c r="J77" s="24"/>
      <c r="K77" s="9"/>
      <c r="L77" s="38"/>
      <c r="M77" s="11"/>
      <c r="N77" s="32"/>
      <c r="O77" s="2"/>
    </row>
    <row r="78" spans="1:15" x14ac:dyDescent="0.25">
      <c r="A78" s="21"/>
      <c r="B78" s="18"/>
      <c r="C78" s="2"/>
      <c r="D78" s="10"/>
      <c r="E78" s="10"/>
      <c r="F78" s="2"/>
      <c r="G78" s="29"/>
      <c r="J78" s="24"/>
      <c r="K78" s="9"/>
      <c r="L78" s="38"/>
      <c r="M78" s="11"/>
      <c r="N78" s="32"/>
      <c r="O78" s="2"/>
    </row>
    <row r="79" spans="1:15" x14ac:dyDescent="0.25">
      <c r="A79" s="21"/>
      <c r="B79" s="18"/>
      <c r="C79" s="2"/>
      <c r="D79" s="10"/>
      <c r="E79" s="10"/>
      <c r="F79" s="2"/>
      <c r="G79" s="29"/>
      <c r="J79" s="24"/>
      <c r="K79" s="9"/>
      <c r="L79" s="38"/>
      <c r="M79" s="11"/>
      <c r="N79" s="32"/>
      <c r="O79" s="2"/>
    </row>
    <row r="80" spans="1:15" x14ac:dyDescent="0.25">
      <c r="A80" s="21"/>
      <c r="B80" s="18"/>
      <c r="C80" s="2"/>
      <c r="D80" s="10"/>
      <c r="E80" s="10"/>
      <c r="F80" s="2"/>
      <c r="G80" s="29"/>
      <c r="J80" s="24"/>
      <c r="K80" s="9"/>
      <c r="L80" s="38"/>
      <c r="M80" s="11"/>
      <c r="N80" s="32"/>
      <c r="O80" s="2"/>
    </row>
    <row r="81" spans="1:15" x14ac:dyDescent="0.25">
      <c r="A81" s="21"/>
      <c r="B81" s="18"/>
      <c r="C81" s="2"/>
      <c r="D81" s="10"/>
      <c r="E81" s="10"/>
      <c r="F81" s="2"/>
      <c r="G81" s="29"/>
      <c r="J81" s="24"/>
      <c r="K81" s="9"/>
      <c r="L81" s="38"/>
      <c r="M81" s="11"/>
      <c r="N81" s="32"/>
      <c r="O81" s="2"/>
    </row>
    <row r="82" spans="1:15" x14ac:dyDescent="0.25">
      <c r="A82" s="21"/>
      <c r="B82" s="18"/>
      <c r="C82" s="2"/>
      <c r="D82" s="10"/>
      <c r="E82" s="10"/>
      <c r="F82" s="2"/>
      <c r="G82" s="29"/>
      <c r="J82" s="24"/>
      <c r="K82" s="9"/>
      <c r="L82" s="38"/>
      <c r="M82" s="11"/>
      <c r="N82" s="32"/>
      <c r="O82" s="2"/>
    </row>
    <row r="83" spans="1:15" x14ac:dyDescent="0.25">
      <c r="A83" s="21"/>
      <c r="B83" s="18"/>
      <c r="C83" s="2"/>
      <c r="D83" s="10"/>
      <c r="E83" s="10"/>
      <c r="F83" s="2"/>
      <c r="G83" s="29"/>
      <c r="J83" s="24"/>
      <c r="K83" s="9"/>
      <c r="L83" s="38"/>
      <c r="M83" s="11"/>
      <c r="N83" s="32"/>
      <c r="O83" s="2"/>
    </row>
    <row r="84" spans="1:15" x14ac:dyDescent="0.25">
      <c r="A84" s="21"/>
      <c r="B84" s="18"/>
      <c r="C84" s="2"/>
      <c r="D84" s="10"/>
      <c r="E84" s="10"/>
      <c r="F84" s="2"/>
      <c r="G84" s="29"/>
      <c r="J84" s="24"/>
      <c r="K84" s="9"/>
      <c r="L84" s="38"/>
      <c r="M84" s="11"/>
      <c r="N84" s="32"/>
      <c r="O84" s="2"/>
    </row>
    <row r="85" spans="1:15" x14ac:dyDescent="0.25">
      <c r="A85" s="21"/>
      <c r="B85" s="18"/>
      <c r="C85" s="2"/>
      <c r="D85" s="10"/>
      <c r="E85" s="10"/>
      <c r="F85" s="2"/>
      <c r="G85" s="29"/>
      <c r="J85" s="24"/>
      <c r="K85" s="9"/>
      <c r="L85" s="38"/>
      <c r="M85" s="11"/>
      <c r="N85" s="32"/>
      <c r="O85" s="2"/>
    </row>
    <row r="86" spans="1:15" x14ac:dyDescent="0.25">
      <c r="A86" s="21"/>
      <c r="B86" s="18"/>
      <c r="C86" s="2"/>
      <c r="D86" s="10"/>
      <c r="E86" s="10"/>
      <c r="F86" s="2"/>
      <c r="G86" s="29"/>
      <c r="J86" s="24"/>
      <c r="K86" s="9"/>
      <c r="L86" s="38"/>
      <c r="M86" s="11"/>
      <c r="N86" s="32"/>
      <c r="O86" s="2"/>
    </row>
    <row r="87" spans="1:15" x14ac:dyDescent="0.25">
      <c r="A87" s="21"/>
      <c r="B87" s="18"/>
      <c r="C87" s="2"/>
      <c r="D87" s="10"/>
      <c r="E87" s="10"/>
      <c r="F87" s="2"/>
      <c r="G87" s="29"/>
      <c r="J87" s="24"/>
      <c r="K87" s="9"/>
      <c r="L87" s="38"/>
      <c r="M87" s="11"/>
      <c r="N87" s="32"/>
      <c r="O87" s="2"/>
    </row>
    <row r="88" spans="1:15" x14ac:dyDescent="0.25">
      <c r="A88" s="21"/>
      <c r="B88" s="18"/>
      <c r="C88" s="2"/>
      <c r="D88" s="10"/>
      <c r="E88" s="10"/>
      <c r="F88" s="2"/>
      <c r="G88" s="29"/>
      <c r="J88" s="24"/>
      <c r="K88" s="9"/>
      <c r="L88" s="38"/>
      <c r="M88" s="11"/>
      <c r="N88" s="32"/>
      <c r="O88" s="2"/>
    </row>
    <row r="89" spans="1:15" x14ac:dyDescent="0.25">
      <c r="A89" s="21"/>
      <c r="B89" s="18"/>
      <c r="C89" s="10"/>
      <c r="D89" s="10"/>
      <c r="E89" s="10"/>
      <c r="F89" s="2"/>
      <c r="G89" s="29"/>
      <c r="J89" s="24"/>
      <c r="K89" s="9"/>
      <c r="L89" s="38"/>
      <c r="M89" s="11"/>
      <c r="N89" s="32"/>
      <c r="O89" s="2"/>
    </row>
    <row r="90" spans="1:15" x14ac:dyDescent="0.25">
      <c r="A90" s="21"/>
      <c r="B90" s="18"/>
      <c r="C90" s="10"/>
      <c r="D90" s="10"/>
      <c r="E90" s="10"/>
      <c r="F90" s="2"/>
      <c r="G90" s="29"/>
      <c r="J90" s="24"/>
      <c r="K90" s="9"/>
      <c r="L90" s="38"/>
      <c r="M90" s="11"/>
      <c r="N90" s="32"/>
      <c r="O90" s="2"/>
    </row>
    <row r="91" spans="1:15" x14ac:dyDescent="0.25">
      <c r="A91" s="22"/>
      <c r="B91" s="18"/>
      <c r="C91" s="2"/>
      <c r="D91" s="10"/>
      <c r="E91" s="10"/>
      <c r="F91" s="2"/>
      <c r="G91" s="29"/>
      <c r="J91" s="25"/>
      <c r="K91" s="9"/>
      <c r="L91" s="38"/>
      <c r="M91" s="11"/>
      <c r="N91" s="32"/>
      <c r="O91" s="2"/>
    </row>
    <row r="92" spans="1:15" x14ac:dyDescent="0.25">
      <c r="A92" s="21"/>
      <c r="B92" s="18"/>
      <c r="C92" s="2"/>
      <c r="D92" s="10"/>
      <c r="E92" s="10"/>
      <c r="F92" s="2"/>
      <c r="G92" s="29"/>
      <c r="I92" s="29"/>
      <c r="J92" s="24"/>
      <c r="K92" s="9"/>
      <c r="L92" s="38"/>
      <c r="M92" s="11"/>
      <c r="N92" s="32"/>
      <c r="O92" s="2"/>
    </row>
    <row r="93" spans="1:15" x14ac:dyDescent="0.25">
      <c r="A93" s="21"/>
      <c r="B93" s="18"/>
      <c r="C93" s="2"/>
      <c r="D93" s="10"/>
      <c r="E93" s="10"/>
      <c r="F93" s="2"/>
      <c r="G93" s="29"/>
      <c r="I93" s="29"/>
      <c r="J93" s="24"/>
      <c r="K93" s="9"/>
      <c r="L93" s="38"/>
      <c r="M93" s="11"/>
      <c r="N93" s="32"/>
      <c r="O93" s="2"/>
    </row>
    <row r="94" spans="1:15" x14ac:dyDescent="0.25">
      <c r="A94" s="21"/>
      <c r="B94" s="18"/>
      <c r="C94" s="2"/>
      <c r="D94" s="10"/>
      <c r="E94" s="10"/>
      <c r="F94" s="2"/>
      <c r="G94" s="29"/>
      <c r="I94" s="29"/>
      <c r="J94" s="24"/>
      <c r="K94" s="9"/>
      <c r="L94" s="38"/>
      <c r="M94" s="11"/>
      <c r="N94" s="32"/>
      <c r="O94" s="2"/>
    </row>
    <row r="95" spans="1:15" x14ac:dyDescent="0.25">
      <c r="A95" s="21"/>
      <c r="B95" s="18"/>
      <c r="C95" s="2"/>
      <c r="D95" s="10"/>
      <c r="E95" s="10"/>
      <c r="F95" s="2"/>
      <c r="G95" s="29"/>
      <c r="I95" s="29"/>
      <c r="J95" s="24"/>
      <c r="K95" s="9"/>
      <c r="L95" s="38"/>
      <c r="M95" s="11"/>
      <c r="N95" s="32"/>
      <c r="O95" s="2"/>
    </row>
    <row r="96" spans="1:15" x14ac:dyDescent="0.25">
      <c r="A96" s="21"/>
      <c r="B96" s="18"/>
      <c r="C96" s="2"/>
      <c r="D96" s="10"/>
      <c r="E96" s="10"/>
      <c r="F96" s="2"/>
      <c r="G96" s="29"/>
      <c r="I96" s="29"/>
      <c r="J96" s="24"/>
      <c r="K96" s="9"/>
      <c r="L96" s="38"/>
      <c r="M96" s="11"/>
      <c r="N96" s="32"/>
      <c r="O96" s="2"/>
    </row>
    <row r="97" spans="2:15" x14ac:dyDescent="0.25">
      <c r="B97" s="20"/>
      <c r="C97" s="4"/>
      <c r="D97" s="10"/>
      <c r="E97" s="10"/>
      <c r="F97" s="4"/>
      <c r="G97" s="27"/>
      <c r="I97" s="27"/>
      <c r="J97" s="26"/>
      <c r="K97" s="8"/>
      <c r="L97" s="38"/>
      <c r="M97" s="11"/>
      <c r="N97" s="32"/>
      <c r="O97" s="4"/>
    </row>
    <row r="98" spans="2:15" x14ac:dyDescent="0.25">
      <c r="B98" s="20"/>
      <c r="C98" s="4"/>
      <c r="D98" s="10"/>
      <c r="E98" s="10"/>
      <c r="F98" s="4"/>
      <c r="G98" s="27"/>
      <c r="I98" s="27"/>
      <c r="J98" s="26"/>
      <c r="K98" s="8"/>
      <c r="L98" s="38"/>
      <c r="M98" s="11"/>
      <c r="N98" s="32"/>
      <c r="O98" s="4"/>
    </row>
    <row r="99" spans="2:15" x14ac:dyDescent="0.25">
      <c r="B99" s="20"/>
      <c r="C99" s="4"/>
      <c r="D99" s="10"/>
      <c r="E99" s="10"/>
      <c r="F99" s="4"/>
      <c r="G99" s="27"/>
      <c r="I99" s="27"/>
      <c r="J99" s="26"/>
      <c r="K99" s="8"/>
      <c r="L99" s="38"/>
      <c r="M99" s="11"/>
      <c r="N99" s="32"/>
      <c r="O99" s="4"/>
    </row>
    <row r="100" spans="2:15" x14ac:dyDescent="0.25">
      <c r="B100" s="20"/>
      <c r="C100" s="4"/>
      <c r="D100" s="10"/>
      <c r="E100" s="10"/>
      <c r="F100" s="4"/>
      <c r="G100" s="27"/>
      <c r="I100" s="27"/>
      <c r="J100" s="26"/>
      <c r="K100" s="8"/>
      <c r="L100" s="38"/>
      <c r="M100" s="11"/>
      <c r="N100" s="32"/>
      <c r="O100" s="4"/>
    </row>
    <row r="101" spans="2:15" x14ac:dyDescent="0.25">
      <c r="B101" s="20"/>
      <c r="C101" s="4"/>
      <c r="D101" s="10"/>
      <c r="E101" s="10"/>
      <c r="F101" s="4"/>
      <c r="G101" s="27"/>
      <c r="I101" s="27"/>
      <c r="J101" s="26"/>
      <c r="K101" s="8"/>
      <c r="L101" s="38"/>
      <c r="M101" s="11"/>
      <c r="N101" s="32"/>
      <c r="O101" s="4"/>
    </row>
    <row r="102" spans="2:15" x14ac:dyDescent="0.25">
      <c r="B102" s="20"/>
      <c r="C102" s="4"/>
      <c r="D102" s="10"/>
      <c r="E102" s="10"/>
      <c r="F102" s="4"/>
      <c r="G102" s="27"/>
      <c r="I102" s="27"/>
      <c r="J102" s="26"/>
      <c r="K102" s="8"/>
      <c r="L102" s="38"/>
      <c r="M102" s="11"/>
      <c r="N102" s="32"/>
      <c r="O102" s="4"/>
    </row>
    <row r="103" spans="2:15" x14ac:dyDescent="0.25">
      <c r="B103" s="20"/>
      <c r="C103" s="4"/>
      <c r="D103" s="10"/>
      <c r="E103" s="10"/>
      <c r="F103" s="4"/>
      <c r="G103" s="27"/>
      <c r="I103" s="27"/>
      <c r="J103" s="26"/>
      <c r="K103" s="8"/>
      <c r="L103" s="38"/>
      <c r="M103" s="11"/>
      <c r="N103" s="32"/>
      <c r="O103" s="4"/>
    </row>
    <row r="104" spans="2:15" x14ac:dyDescent="0.25">
      <c r="B104" s="20"/>
      <c r="C104" s="4"/>
      <c r="D104" s="10"/>
      <c r="E104" s="10"/>
      <c r="F104" s="4"/>
      <c r="G104" s="27"/>
      <c r="I104" s="27"/>
      <c r="J104" s="26"/>
      <c r="K104" s="8"/>
      <c r="L104" s="38"/>
      <c r="M104" s="11"/>
      <c r="N104" s="32"/>
      <c r="O104" s="4"/>
    </row>
    <row r="105" spans="2:15" x14ac:dyDescent="0.25">
      <c r="B105" s="20"/>
      <c r="C105" s="4"/>
      <c r="D105" s="10"/>
      <c r="E105" s="10"/>
      <c r="F105" s="4"/>
      <c r="G105" s="27"/>
      <c r="I105" s="27"/>
      <c r="J105" s="26"/>
      <c r="K105" s="8"/>
      <c r="L105" s="38"/>
      <c r="M105" s="11"/>
      <c r="N105" s="32"/>
      <c r="O105" s="4"/>
    </row>
    <row r="106" spans="2:15" x14ac:dyDescent="0.25">
      <c r="B106" s="20"/>
      <c r="C106" s="4"/>
      <c r="D106" s="10"/>
      <c r="E106" s="10"/>
      <c r="F106" s="4"/>
      <c r="G106" s="27"/>
      <c r="I106" s="27"/>
      <c r="J106" s="26"/>
      <c r="K106" s="8"/>
      <c r="L106" s="38"/>
      <c r="M106" s="11"/>
      <c r="N106" s="32"/>
      <c r="O106" s="4"/>
    </row>
    <row r="107" spans="2:15" x14ac:dyDescent="0.25">
      <c r="B107" s="20"/>
      <c r="C107" s="4"/>
      <c r="D107" s="10"/>
      <c r="E107" s="10"/>
      <c r="F107" s="4"/>
      <c r="G107" s="27"/>
      <c r="I107" s="27"/>
      <c r="J107" s="26"/>
      <c r="K107" s="8"/>
      <c r="L107" s="38"/>
      <c r="M107" s="11"/>
      <c r="N107" s="32"/>
      <c r="O107" s="4"/>
    </row>
    <row r="108" spans="2:15" x14ac:dyDescent="0.25">
      <c r="B108" s="20"/>
      <c r="C108" s="4"/>
      <c r="D108" s="10"/>
      <c r="E108" s="10"/>
      <c r="F108" s="4"/>
      <c r="G108" s="27"/>
      <c r="I108" s="27"/>
      <c r="J108" s="26"/>
      <c r="K108" s="8"/>
      <c r="L108" s="38"/>
      <c r="M108" s="11"/>
      <c r="N108" s="32"/>
      <c r="O108" s="4"/>
    </row>
    <row r="109" spans="2:15" x14ac:dyDescent="0.25">
      <c r="B109" s="20"/>
      <c r="C109" s="4"/>
      <c r="D109" s="10"/>
      <c r="E109" s="10"/>
      <c r="F109" s="4"/>
      <c r="G109" s="27"/>
      <c r="I109" s="27"/>
      <c r="J109" s="26"/>
      <c r="K109" s="8"/>
      <c r="L109" s="38"/>
      <c r="M109" s="11"/>
      <c r="N109" s="32"/>
      <c r="O109" s="4"/>
    </row>
    <row r="110" spans="2:15" x14ac:dyDescent="0.25">
      <c r="B110" s="20"/>
      <c r="C110" s="4"/>
      <c r="D110" s="10"/>
      <c r="E110" s="10"/>
      <c r="F110" s="4"/>
      <c r="G110" s="27"/>
      <c r="I110" s="27"/>
      <c r="J110" s="26"/>
      <c r="K110" s="8"/>
      <c r="L110" s="38"/>
      <c r="M110" s="11"/>
      <c r="N110" s="32"/>
      <c r="O110" s="4"/>
    </row>
    <row r="111" spans="2:15" x14ac:dyDescent="0.25">
      <c r="B111" s="20"/>
      <c r="C111" s="4"/>
      <c r="D111" s="10"/>
      <c r="E111" s="10"/>
      <c r="F111" s="4"/>
      <c r="G111" s="27"/>
      <c r="I111" s="27"/>
      <c r="J111" s="26"/>
      <c r="K111" s="8"/>
      <c r="L111" s="38"/>
      <c r="M111" s="11"/>
      <c r="N111" s="32"/>
      <c r="O111" s="4"/>
    </row>
    <row r="112" spans="2:15" x14ac:dyDescent="0.25">
      <c r="B112" s="20"/>
      <c r="C112" s="4"/>
      <c r="D112" s="10"/>
      <c r="E112" s="10"/>
      <c r="F112" s="4"/>
      <c r="G112" s="27"/>
      <c r="I112" s="27"/>
      <c r="J112" s="26"/>
      <c r="K112" s="8"/>
      <c r="L112" s="38"/>
      <c r="M112" s="11"/>
      <c r="N112" s="32"/>
      <c r="O112" s="4"/>
    </row>
    <row r="113" spans="2:15" x14ac:dyDescent="0.25">
      <c r="B113" s="20"/>
      <c r="C113" s="4"/>
      <c r="D113" s="10"/>
      <c r="E113" s="10"/>
      <c r="F113" s="4"/>
      <c r="G113" s="27"/>
      <c r="I113" s="27"/>
      <c r="J113" s="26"/>
      <c r="K113" s="8"/>
      <c r="L113" s="38"/>
      <c r="M113" s="11"/>
      <c r="N113" s="32"/>
      <c r="O113" s="4"/>
    </row>
    <row r="114" spans="2:15" x14ac:dyDescent="0.25">
      <c r="B114" s="20"/>
      <c r="C114" s="4"/>
      <c r="D114" s="10"/>
      <c r="E114" s="10"/>
      <c r="F114" s="4"/>
      <c r="G114" s="27"/>
      <c r="I114" s="27"/>
      <c r="J114" s="26"/>
      <c r="K114" s="8"/>
      <c r="L114" s="38"/>
      <c r="M114" s="11"/>
      <c r="N114" s="32"/>
      <c r="O114" s="4"/>
    </row>
    <row r="115" spans="2:15" x14ac:dyDescent="0.25">
      <c r="B115" s="20"/>
      <c r="C115" s="4"/>
      <c r="D115" s="10"/>
      <c r="E115" s="10"/>
      <c r="F115" s="4"/>
      <c r="G115" s="27"/>
      <c r="I115" s="27"/>
      <c r="J115" s="26"/>
      <c r="K115" s="8"/>
      <c r="L115" s="38"/>
      <c r="M115" s="11"/>
      <c r="N115" s="32"/>
      <c r="O115" s="4"/>
    </row>
    <row r="116" spans="2:15" x14ac:dyDescent="0.25">
      <c r="B116" s="20"/>
      <c r="C116" s="4"/>
      <c r="D116" s="10"/>
      <c r="E116" s="10"/>
      <c r="F116" s="4"/>
      <c r="G116" s="27"/>
      <c r="I116" s="27"/>
      <c r="J116" s="26"/>
      <c r="K116" s="8"/>
      <c r="L116" s="38"/>
      <c r="M116" s="11"/>
      <c r="N116" s="32"/>
      <c r="O116" s="4"/>
    </row>
    <row r="117" spans="2:15" x14ac:dyDescent="0.25">
      <c r="B117" s="20"/>
      <c r="C117" s="4"/>
      <c r="D117" s="10"/>
      <c r="E117" s="10"/>
      <c r="F117" s="4"/>
      <c r="G117" s="27"/>
      <c r="I117" s="27"/>
      <c r="J117" s="26"/>
      <c r="K117" s="8"/>
      <c r="L117" s="38"/>
      <c r="M117" s="11"/>
      <c r="N117" s="32"/>
      <c r="O117" s="4"/>
    </row>
    <row r="118" spans="2:15" x14ac:dyDescent="0.25">
      <c r="B118" s="20"/>
      <c r="C118" s="4"/>
      <c r="D118" s="10"/>
      <c r="E118" s="10"/>
      <c r="F118" s="4"/>
      <c r="G118" s="27"/>
      <c r="I118" s="27"/>
      <c r="J118" s="26"/>
      <c r="K118" s="8"/>
      <c r="L118" s="38"/>
      <c r="M118" s="11"/>
      <c r="N118" s="32"/>
      <c r="O118" s="4"/>
    </row>
    <row r="119" spans="2:15" x14ac:dyDescent="0.25">
      <c r="B119" s="20"/>
      <c r="C119" s="4"/>
      <c r="D119" s="10"/>
      <c r="E119" s="10"/>
      <c r="F119" s="4"/>
      <c r="G119" s="27"/>
      <c r="I119" s="27"/>
      <c r="J119" s="26"/>
      <c r="K119" s="8"/>
      <c r="L119" s="38"/>
      <c r="M119" s="11"/>
      <c r="N119" s="32"/>
      <c r="O119" s="4"/>
    </row>
    <row r="120" spans="2:15" x14ac:dyDescent="0.25">
      <c r="B120" s="20"/>
      <c r="C120" s="4"/>
      <c r="D120" s="10"/>
      <c r="E120" s="10"/>
      <c r="F120" s="4"/>
      <c r="G120" s="27"/>
      <c r="I120" s="27"/>
      <c r="J120" s="26"/>
      <c r="K120" s="8"/>
      <c r="L120" s="38"/>
      <c r="M120" s="11"/>
      <c r="N120" s="32"/>
      <c r="O120" s="4"/>
    </row>
    <row r="121" spans="2:15" x14ac:dyDescent="0.25">
      <c r="B121" s="20"/>
      <c r="C121" s="4"/>
      <c r="D121" s="10"/>
      <c r="E121" s="10"/>
      <c r="F121" s="4"/>
      <c r="G121" s="27"/>
      <c r="I121" s="27"/>
      <c r="J121" s="26"/>
      <c r="K121" s="8"/>
      <c r="L121" s="38"/>
      <c r="M121" s="11"/>
      <c r="N121" s="32"/>
      <c r="O121" s="4"/>
    </row>
    <row r="122" spans="2:15" x14ac:dyDescent="0.25">
      <c r="B122" s="20"/>
      <c r="C122" s="4"/>
      <c r="D122" s="10"/>
      <c r="E122" s="10"/>
      <c r="F122" s="4"/>
      <c r="G122" s="27"/>
      <c r="I122" s="27"/>
      <c r="J122" s="26"/>
      <c r="K122" s="8"/>
      <c r="L122" s="38"/>
      <c r="M122" s="11"/>
      <c r="N122" s="32"/>
      <c r="O122" s="4"/>
    </row>
    <row r="123" spans="2:15" x14ac:dyDescent="0.25">
      <c r="B123" s="20"/>
      <c r="C123" s="4"/>
      <c r="D123" s="10"/>
      <c r="E123" s="10"/>
      <c r="F123" s="4"/>
      <c r="G123" s="27"/>
      <c r="I123" s="27"/>
      <c r="J123" s="26"/>
      <c r="K123" s="8"/>
      <c r="L123" s="38"/>
      <c r="M123" s="11"/>
      <c r="N123" s="32"/>
      <c r="O123" s="4"/>
    </row>
    <row r="124" spans="2:15" x14ac:dyDescent="0.25">
      <c r="B124" s="20"/>
      <c r="C124" s="4"/>
      <c r="D124" s="4"/>
      <c r="E124" s="10"/>
      <c r="F124" s="4"/>
      <c r="G124" s="27"/>
      <c r="I124" s="27"/>
      <c r="J124" s="26"/>
      <c r="K124" s="8"/>
      <c r="L124" s="38"/>
      <c r="M124" s="11"/>
      <c r="N124" s="32"/>
      <c r="O124" s="4"/>
    </row>
    <row r="125" spans="2:15" x14ac:dyDescent="0.25">
      <c r="E125" s="5"/>
      <c r="N125" s="33"/>
    </row>
  </sheetData>
  <autoFilter ref="J2:O18" xr:uid="{00000000-0009-0000-0000-000000000000}"/>
  <mergeCells count="3">
    <mergeCell ref="A1:A2"/>
    <mergeCell ref="B1:F1"/>
    <mergeCell ref="J1:O1"/>
  </mergeCells>
  <phoneticPr fontId="5" type="noConversion"/>
  <dataValidations count="2">
    <dataValidation type="list" allowBlank="1" showInputMessage="1" showErrorMessage="1" sqref="E125 M125:N125" xr:uid="{00000000-0002-0000-0000-000001000000}">
      <formula1>"NuBank,Banco Pan"</formula1>
    </dataValidation>
    <dataValidation type="list" allowBlank="1" showInputMessage="1" showErrorMessage="1" sqref="L125 C125:D125" xr:uid="{00000000-0002-0000-0000-000002000000}">
      <formula1>#REF!</formula1>
    </dataValidation>
  </dataValidations>
  <pageMargins left="0.511811024" right="0.511811024" top="0.78740157499999996" bottom="0.78740157499999996" header="0.31496062000000002" footer="0.31496062000000002"/>
  <pageSetup paperSize="9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pageSetUpPr fitToPage="1"/>
  </sheetPr>
  <dimension ref="A1:O94"/>
  <sheetViews>
    <sheetView showGridLines="0" zoomScale="95" zoomScaleNormal="95" zoomScaleSheetLayoutView="90" workbookViewId="0"/>
  </sheetViews>
  <sheetFormatPr defaultColWidth="0" defaultRowHeight="13.2" zeroHeight="1" x14ac:dyDescent="0.25"/>
  <cols>
    <col min="1" max="2" width="8.88671875" customWidth="1"/>
    <col min="3" max="4" width="28.33203125" style="3" customWidth="1"/>
    <col min="5" max="6" width="3.33203125" customWidth="1"/>
    <col min="7" max="7" width="28.5546875" customWidth="1"/>
    <col min="8" max="8" width="25.5546875" customWidth="1"/>
    <col min="9" max="10" width="3.33203125" customWidth="1"/>
    <col min="11" max="11" width="28.5546875" customWidth="1"/>
    <col min="12" max="13" width="15.44140625" customWidth="1"/>
    <col min="14" max="15" width="8.88671875" customWidth="1"/>
    <col min="16" max="16" width="0" hidden="1" customWidth="1"/>
  </cols>
  <sheetData>
    <row r="1" spans="1:15" ht="21.6" customHeight="1" thickTop="1" thickBot="1" x14ac:dyDescent="0.3">
      <c r="A1" s="68"/>
      <c r="B1" s="68"/>
      <c r="C1" s="87" t="s">
        <v>41</v>
      </c>
      <c r="D1" s="88"/>
      <c r="E1" s="68"/>
      <c r="F1" s="68"/>
      <c r="G1" s="79" t="s">
        <v>40</v>
      </c>
      <c r="H1" s="80"/>
      <c r="I1" s="68"/>
      <c r="J1" s="68"/>
      <c r="K1" s="76" t="s">
        <v>42</v>
      </c>
      <c r="L1" s="77"/>
      <c r="M1" s="78"/>
      <c r="N1" s="68"/>
      <c r="O1" s="68"/>
    </row>
    <row r="2" spans="1:15" ht="13.8" customHeight="1" thickBot="1" x14ac:dyDescent="0.3">
      <c r="A2" s="68"/>
      <c r="B2" s="68"/>
      <c r="C2" s="52" t="s">
        <v>36</v>
      </c>
      <c r="D2" s="69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</row>
    <row r="3" spans="1:15" ht="14.4" customHeight="1" thickBot="1" x14ac:dyDescent="0.3">
      <c r="A3" s="68"/>
      <c r="B3" s="68"/>
      <c r="C3" s="52" t="s">
        <v>37</v>
      </c>
      <c r="D3" s="45">
        <f>D2-SUMIFS('Mês Atual'!O:O,'Mês Atual'!M:M,"Saída")</f>
        <v>0</v>
      </c>
      <c r="E3" s="68"/>
      <c r="F3" s="68"/>
      <c r="G3" s="85" t="str">
        <f>C11</f>
        <v>Conta 1</v>
      </c>
      <c r="H3" s="86"/>
      <c r="I3" s="68"/>
      <c r="J3" s="68"/>
      <c r="K3" s="48" t="s">
        <v>11</v>
      </c>
      <c r="L3" s="49" t="s">
        <v>43</v>
      </c>
      <c r="M3" s="50" t="s">
        <v>44</v>
      </c>
      <c r="N3" s="68"/>
      <c r="O3" s="68"/>
    </row>
    <row r="4" spans="1:15" ht="14.4" customHeight="1" thickBot="1" x14ac:dyDescent="0.3">
      <c r="A4" s="68"/>
      <c r="B4" s="68"/>
      <c r="C4" s="68"/>
      <c r="D4" s="68"/>
      <c r="E4" s="68"/>
      <c r="F4" s="68"/>
      <c r="G4" s="51" t="s">
        <v>36</v>
      </c>
      <c r="H4" s="70">
        <v>0</v>
      </c>
      <c r="I4" s="68"/>
      <c r="J4" s="68"/>
      <c r="K4" s="53" t="s">
        <v>0</v>
      </c>
      <c r="L4" s="64">
        <f>SUMIF('Mês Atual'!$L$3:$L$117,K4,'Mês Atual'!$O$3:$O$117)</f>
        <v>0</v>
      </c>
      <c r="M4" s="65">
        <f>SUMIF('Mês Atual'!$C$3:$C$116,Relatórios!K4,'Mês Atual'!$F$3:$F$116)</f>
        <v>0</v>
      </c>
      <c r="N4" s="68"/>
      <c r="O4" s="68"/>
    </row>
    <row r="5" spans="1:15" ht="13.8" customHeight="1" thickBot="1" x14ac:dyDescent="0.3">
      <c r="A5" s="68"/>
      <c r="B5" s="68"/>
      <c r="C5" s="68"/>
      <c r="D5" s="68"/>
      <c r="E5" s="68"/>
      <c r="F5" s="68"/>
      <c r="G5" s="51" t="s">
        <v>37</v>
      </c>
      <c r="H5" s="35">
        <f>H4+SUMIFS('Mês Atual'!O:O,'Mês Atual'!M:M,"Entrada",'Mês Atual'!N:N,Relatórios!G3)-SUMIFS('Mês Atual'!O:O,'Mês Atual'!M:M,"Saída",'Mês Atual'!N:N,Relatórios!G3)</f>
        <v>0</v>
      </c>
      <c r="I5" s="68"/>
      <c r="J5" s="68"/>
      <c r="K5" s="53" t="s">
        <v>16</v>
      </c>
      <c r="L5" s="64">
        <f>SUMIF('Mês Atual'!$L$3:$L$117,K5,'Mês Atual'!$O$3:$O$117)</f>
        <v>0</v>
      </c>
      <c r="M5" s="65">
        <f>SUMIF('Mês Atual'!$C$3:$C$116,Relatórios!K5,'Mês Atual'!$F$3:$F$116)</f>
        <v>0</v>
      </c>
      <c r="N5" s="68"/>
      <c r="O5" s="68"/>
    </row>
    <row r="6" spans="1:15" ht="13.8" thickBot="1" x14ac:dyDescent="0.3">
      <c r="A6" s="68"/>
      <c r="B6" s="68"/>
      <c r="C6" s="68"/>
      <c r="D6" s="68"/>
      <c r="E6" s="68"/>
      <c r="F6" s="68"/>
      <c r="G6" s="68"/>
      <c r="H6" s="68"/>
      <c r="I6" s="68"/>
      <c r="J6" s="68"/>
      <c r="K6" s="53" t="s">
        <v>2</v>
      </c>
      <c r="L6" s="64">
        <f>SUMIF('Mês Atual'!$L$3:$L$117,K6,'Mês Atual'!$O$3:$O$117)</f>
        <v>0</v>
      </c>
      <c r="M6" s="65">
        <f>SUMIF('Mês Atual'!$C$3:$C$116,Relatórios!K6,'Mês Atual'!$F$3:$F$116)</f>
        <v>0</v>
      </c>
      <c r="N6" s="68"/>
      <c r="O6" s="68"/>
    </row>
    <row r="7" spans="1:15" ht="14.4" customHeight="1" thickBot="1" x14ac:dyDescent="0.3">
      <c r="A7" s="68"/>
      <c r="B7" s="68"/>
      <c r="C7" s="61" t="s">
        <v>46</v>
      </c>
      <c r="D7" s="62"/>
      <c r="E7" s="68"/>
      <c r="F7" s="68"/>
      <c r="G7" s="83" t="str">
        <f>C12</f>
        <v>Conta 2</v>
      </c>
      <c r="H7" s="84"/>
      <c r="I7" s="68"/>
      <c r="J7" s="68"/>
      <c r="K7" s="53" t="s">
        <v>3</v>
      </c>
      <c r="L7" s="64">
        <f>SUMIF('Mês Atual'!$L$3:$L$117,K7,'Mês Atual'!$O$3:$O$117)</f>
        <v>0</v>
      </c>
      <c r="M7" s="65">
        <f>SUMIF('Mês Atual'!$C$3:$C$116,Relatórios!K7,'Mês Atual'!$F$3:$F$116)</f>
        <v>0</v>
      </c>
      <c r="N7" s="68"/>
      <c r="O7" s="68"/>
    </row>
    <row r="8" spans="1:15" ht="13.8" customHeight="1" thickBot="1" x14ac:dyDescent="0.3">
      <c r="A8" s="68"/>
      <c r="B8" s="68"/>
      <c r="C8" s="73" t="s">
        <v>55</v>
      </c>
      <c r="D8" s="35">
        <f>SUMIFS('Mês Atual'!O:O,'Mês Atual'!M:M,"Saída",'Mês Atual'!N:N,Relatórios!C8)</f>
        <v>0</v>
      </c>
      <c r="E8" s="68"/>
      <c r="F8" s="68"/>
      <c r="G8" s="51" t="s">
        <v>36</v>
      </c>
      <c r="H8" s="70">
        <v>0</v>
      </c>
      <c r="I8" s="68"/>
      <c r="J8" s="68"/>
      <c r="K8" s="53" t="s">
        <v>18</v>
      </c>
      <c r="L8" s="64">
        <f>SUMIF('Mês Atual'!$L$3:$L$117,K8,'Mês Atual'!$O$3:$O$117)</f>
        <v>0</v>
      </c>
      <c r="M8" s="65">
        <f>SUMIF('Mês Atual'!$C$3:$C$116,Relatórios!K8,'Mês Atual'!$F$3:$F$116)</f>
        <v>0</v>
      </c>
      <c r="N8" s="68"/>
      <c r="O8" s="68"/>
    </row>
    <row r="9" spans="1:15" ht="13.8" customHeight="1" thickBot="1" x14ac:dyDescent="0.3">
      <c r="A9" s="68"/>
      <c r="B9" s="68"/>
      <c r="C9" s="73" t="s">
        <v>56</v>
      </c>
      <c r="D9" s="35">
        <f>SUMIFS('Mês Atual'!O:O,'Mês Atual'!M:M,"Saída",'Mês Atual'!N:N,Relatórios!C9)</f>
        <v>0</v>
      </c>
      <c r="E9" s="68"/>
      <c r="F9" s="68"/>
      <c r="G9" s="51" t="s">
        <v>37</v>
      </c>
      <c r="H9" s="35">
        <f>H8+SUMIFS('Mês Atual'!O:O,'Mês Atual'!M:M,"Entrada",'Mês Atual'!N:N,Relatórios!G7)-SUMIFS('Mês Atual'!O:O,'Mês Atual'!M:M,"Saída",'Mês Atual'!N:N,Relatórios!G7)</f>
        <v>0</v>
      </c>
      <c r="I9" s="68"/>
      <c r="J9" s="68"/>
      <c r="K9" s="53" t="s">
        <v>4</v>
      </c>
      <c r="L9" s="64">
        <f>SUMIF('Mês Atual'!$L$3:$L$117,K9,'Mês Atual'!$O$3:$O$117)</f>
        <v>0</v>
      </c>
      <c r="M9" s="65">
        <f>SUMIF('Mês Atual'!$C$3:$C$116,Relatórios!K9,'Mês Atual'!$F$3:$F$116)</f>
        <v>0</v>
      </c>
      <c r="N9" s="68"/>
      <c r="O9" s="68"/>
    </row>
    <row r="10" spans="1:15" ht="13.8" thickBot="1" x14ac:dyDescent="0.3">
      <c r="A10" s="68"/>
      <c r="B10" s="68"/>
      <c r="C10" s="73" t="s">
        <v>57</v>
      </c>
      <c r="D10" s="35">
        <f>SUMIFS('Mês Atual'!O:O,'Mês Atual'!M:M,"Saída",'Mês Atual'!N:N,Relatórios!C10)</f>
        <v>0</v>
      </c>
      <c r="E10" s="68"/>
      <c r="F10" s="68"/>
      <c r="G10" s="68"/>
      <c r="H10" s="68"/>
      <c r="I10" s="68"/>
      <c r="J10" s="68"/>
      <c r="K10" s="53" t="s">
        <v>17</v>
      </c>
      <c r="L10" s="64">
        <f>SUMIF('Mês Atual'!$L$3:$L$117,K10,'Mês Atual'!$O$3:$O$117)</f>
        <v>0</v>
      </c>
      <c r="M10" s="65">
        <f>SUMIF('Mês Atual'!$C$3:$C$116,Relatórios!K10,'Mês Atual'!$F$3:$F$116)</f>
        <v>0</v>
      </c>
      <c r="N10" s="68"/>
      <c r="O10" s="68"/>
    </row>
    <row r="11" spans="1:15" ht="13.8" thickBot="1" x14ac:dyDescent="0.3">
      <c r="A11" s="68"/>
      <c r="B11" s="68"/>
      <c r="C11" s="73" t="s">
        <v>52</v>
      </c>
      <c r="D11" s="35">
        <f>SUMIFS('Mês Atual'!O:O,'Mês Atual'!M:M,"Saída",'Mês Atual'!N:N,Relatórios!C11)</f>
        <v>0</v>
      </c>
      <c r="E11" s="68"/>
      <c r="F11" s="68"/>
      <c r="G11" s="83" t="str">
        <f>C13</f>
        <v>Conta 3</v>
      </c>
      <c r="H11" s="84"/>
      <c r="I11" s="68"/>
      <c r="J11" s="68"/>
      <c r="K11" s="53" t="s">
        <v>1</v>
      </c>
      <c r="L11" s="64">
        <f>SUMIF('Mês Atual'!$L$3:$L$117,K11,'Mês Atual'!$O$3:$O$117)</f>
        <v>0</v>
      </c>
      <c r="M11" s="65">
        <f>SUMIF('Mês Atual'!$C$3:$C$116,Relatórios!K11,'Mês Atual'!$F$3:$F$116)</f>
        <v>0</v>
      </c>
      <c r="N11" s="68"/>
      <c r="O11" s="68"/>
    </row>
    <row r="12" spans="1:15" ht="13.8" thickBot="1" x14ac:dyDescent="0.3">
      <c r="A12" s="68"/>
      <c r="B12" s="68"/>
      <c r="C12" s="73" t="s">
        <v>53</v>
      </c>
      <c r="D12" s="35">
        <f>SUMIFS('Mês Atual'!O:O,'Mês Atual'!M:M,"Saída",'Mês Atual'!N:N,Relatórios!C12)</f>
        <v>0</v>
      </c>
      <c r="E12" s="68"/>
      <c r="F12" s="68"/>
      <c r="G12" s="51" t="s">
        <v>36</v>
      </c>
      <c r="H12" s="70">
        <v>0</v>
      </c>
      <c r="I12" s="68"/>
      <c r="J12" s="68"/>
      <c r="K12" s="53" t="s">
        <v>6</v>
      </c>
      <c r="L12" s="64">
        <f>SUMIF('Mês Atual'!$L$3:$L$117,K12,'Mês Atual'!$O$3:$O$117)</f>
        <v>0</v>
      </c>
      <c r="M12" s="65">
        <f>SUMIF('Mês Atual'!$C$3:$C$116,Relatórios!K12,'Mês Atual'!$F$3:$F$116)</f>
        <v>0</v>
      </c>
      <c r="N12" s="68"/>
      <c r="O12" s="68"/>
    </row>
    <row r="13" spans="1:15" ht="13.8" thickBot="1" x14ac:dyDescent="0.3">
      <c r="A13" s="68"/>
      <c r="B13" s="68"/>
      <c r="C13" s="73" t="s">
        <v>54</v>
      </c>
      <c r="D13" s="35">
        <f>SUMIFS('Mês Atual'!O:O,'Mês Atual'!M:M,"Saída",'Mês Atual'!N:N,Relatórios!C13)</f>
        <v>0</v>
      </c>
      <c r="E13" s="68"/>
      <c r="F13" s="68"/>
      <c r="G13" s="51" t="s">
        <v>37</v>
      </c>
      <c r="H13" s="35">
        <f>H12+SUMIFS('Mês Atual'!O:O,'Mês Atual'!M:M,"Entrada",'Mês Atual'!N:N,Relatórios!G11)-SUMIFS('Mês Atual'!O:O,'Mês Atual'!M:M,"Saída",'Mês Atual'!N:N,Relatórios!G11)</f>
        <v>0</v>
      </c>
      <c r="I13" s="68"/>
      <c r="J13" s="68"/>
      <c r="K13" s="53" t="s">
        <v>20</v>
      </c>
      <c r="L13" s="64">
        <f>SUMIF('Mês Atual'!$L$3:$L$117,K13,'Mês Atual'!$O$3:$O$117)</f>
        <v>0</v>
      </c>
      <c r="M13" s="65">
        <f>SUMIF('Mês Atual'!$C$3:$C$116,Relatórios!K13,'Mês Atual'!$F$3:$F$116)</f>
        <v>0</v>
      </c>
      <c r="N13" s="68"/>
      <c r="O13" s="68"/>
    </row>
    <row r="14" spans="1:15" ht="13.8" thickBot="1" x14ac:dyDescent="0.3">
      <c r="A14" s="68"/>
      <c r="B14" s="68"/>
      <c r="C14" s="73" t="s">
        <v>34</v>
      </c>
      <c r="D14" s="35">
        <f>SUMIFS('Mês Atual'!O:O,'Mês Atual'!M:M,"Saída",'Mês Atual'!N:N,Relatórios!C14)</f>
        <v>0</v>
      </c>
      <c r="E14" s="68"/>
      <c r="F14" s="68"/>
      <c r="G14" s="68"/>
      <c r="H14" s="68"/>
      <c r="I14" s="68"/>
      <c r="J14" s="68"/>
      <c r="K14" s="53" t="s">
        <v>49</v>
      </c>
      <c r="L14" s="64">
        <f>SUMIF('Mês Atual'!$L$3:$L$117,K14,'Mês Atual'!$O$3:$O$117)</f>
        <v>0</v>
      </c>
      <c r="M14" s="65">
        <f>SUMIF('Mês Atual'!$C$3:$C$116,Relatórios!K14,'Mês Atual'!$F$3:$F$116)</f>
        <v>0</v>
      </c>
      <c r="N14" s="68"/>
      <c r="O14" s="68"/>
    </row>
    <row r="15" spans="1:15" ht="13.8" thickBot="1" x14ac:dyDescent="0.3">
      <c r="A15" s="68"/>
      <c r="B15" s="68"/>
      <c r="C15" s="46" t="s">
        <v>13</v>
      </c>
      <c r="D15" s="47">
        <f>SUM(D8:D14)</f>
        <v>0</v>
      </c>
      <c r="E15" s="68"/>
      <c r="F15" s="68"/>
      <c r="G15" s="83" t="str">
        <f>C14</f>
        <v>Dinheiro</v>
      </c>
      <c r="H15" s="84"/>
      <c r="I15" s="68"/>
      <c r="J15" s="68"/>
      <c r="K15" s="53" t="s">
        <v>19</v>
      </c>
      <c r="L15" s="64">
        <f>SUMIF('Mês Atual'!$L$3:$L$117,K15,'Mês Atual'!$O$3:$O$117)</f>
        <v>0</v>
      </c>
      <c r="M15" s="65">
        <f>SUMIF('Mês Atual'!$C$3:$C$116,Relatórios!K15,'Mês Atual'!$F$3:$F$116)</f>
        <v>0</v>
      </c>
      <c r="N15" s="68"/>
      <c r="O15" s="68"/>
    </row>
    <row r="16" spans="1:15" ht="13.8" thickBot="1" x14ac:dyDescent="0.3">
      <c r="A16" s="68"/>
      <c r="B16" s="68"/>
      <c r="C16" s="68"/>
      <c r="D16" s="68"/>
      <c r="E16" s="68"/>
      <c r="F16" s="68"/>
      <c r="G16" s="51" t="s">
        <v>36</v>
      </c>
      <c r="H16" s="70">
        <v>0</v>
      </c>
      <c r="I16" s="68"/>
      <c r="J16" s="68"/>
      <c r="K16" s="53" t="s">
        <v>7</v>
      </c>
      <c r="L16" s="64">
        <f>SUMIF('Mês Atual'!$L$3:$L$117,K16,'Mês Atual'!$O$3:$O$117)</f>
        <v>0</v>
      </c>
      <c r="M16" s="65">
        <f>SUMIF('Mês Atual'!$C$3:$C$116,Relatórios!K16,'Mês Atual'!$F$3:$F$116)</f>
        <v>0</v>
      </c>
      <c r="N16" s="68"/>
      <c r="O16" s="68"/>
    </row>
    <row r="17" spans="1:15" ht="13.8" thickBot="1" x14ac:dyDescent="0.3">
      <c r="A17" s="68"/>
      <c r="B17" s="68"/>
      <c r="C17" s="68"/>
      <c r="D17" s="68"/>
      <c r="E17" s="68"/>
      <c r="F17" s="68"/>
      <c r="G17" s="51" t="s">
        <v>37</v>
      </c>
      <c r="H17" s="35">
        <f>H16+SUMIFS('Mês Atual'!O:O,'Mês Atual'!M:M,"Entrada",'Mês Atual'!N:N,Relatórios!G15)-SUMIFS('Mês Atual'!O:O,'Mês Atual'!M:M,"Saída",'Mês Atual'!N:N,Relatórios!G15)</f>
        <v>0</v>
      </c>
      <c r="I17" s="68"/>
      <c r="J17" s="68"/>
      <c r="K17" s="53" t="s">
        <v>8</v>
      </c>
      <c r="L17" s="64">
        <f>SUMIF('Mês Atual'!$L$3:$L$117,K17,'Mês Atual'!$O$3:$O$117)</f>
        <v>0</v>
      </c>
      <c r="M17" s="65">
        <f>SUMIF('Mês Atual'!$C$3:$C$116,Relatórios!K17,'Mês Atual'!$F$3:$F$116)</f>
        <v>0</v>
      </c>
      <c r="N17" s="68"/>
      <c r="O17" s="68"/>
    </row>
    <row r="18" spans="1:15" x14ac:dyDescent="0.25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53" t="s">
        <v>15</v>
      </c>
      <c r="L18" s="64">
        <f>SUMIF('Mês Atual'!$L$3:$L$117,K18,'Mês Atual'!$O$3:$O$117)</f>
        <v>0</v>
      </c>
      <c r="M18" s="65">
        <f>SUMIF('Mês Atual'!$C$3:$C$116,Relatórios!K18,'Mês Atual'!$F$3:$F$116)</f>
        <v>0</v>
      </c>
      <c r="N18" s="68"/>
      <c r="O18" s="68"/>
    </row>
    <row r="19" spans="1:15" ht="13.8" thickBot="1" x14ac:dyDescent="0.3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54" t="s">
        <v>5</v>
      </c>
      <c r="L19" s="66">
        <f>SUMIF('Mês Atual'!$L$3:$L$117,K19,'Mês Atual'!$O$3:$O$117)</f>
        <v>0</v>
      </c>
      <c r="M19" s="67">
        <f>SUMIF('Mês Atual'!$C$3:$C$116,Relatórios!K19,'Mês Atual'!$F$3:$F$116)</f>
        <v>0</v>
      </c>
      <c r="N19" s="68"/>
      <c r="O19" s="68"/>
    </row>
    <row r="20" spans="1:15" ht="13.8" customHeight="1" thickBot="1" x14ac:dyDescent="0.3">
      <c r="A20" s="68"/>
      <c r="B20" s="68"/>
      <c r="C20" s="81" t="s">
        <v>47</v>
      </c>
      <c r="D20" s="82"/>
      <c r="E20" s="68"/>
      <c r="F20" s="68"/>
      <c r="G20" s="68"/>
      <c r="H20" s="68"/>
      <c r="I20" s="68"/>
      <c r="J20" s="68"/>
      <c r="K20" s="72" t="s">
        <v>45</v>
      </c>
      <c r="L20" s="71">
        <f>SUM(L4:L19)</f>
        <v>0</v>
      </c>
      <c r="M20" s="31">
        <f>SUM(M4:M19)</f>
        <v>0</v>
      </c>
      <c r="N20" s="68"/>
      <c r="O20" s="68"/>
    </row>
    <row r="21" spans="1:15" ht="13.8" customHeight="1" thickBot="1" x14ac:dyDescent="0.3">
      <c r="A21" s="68"/>
      <c r="B21" s="68"/>
      <c r="C21" s="51" t="str">
        <f>C8</f>
        <v>Cartão 1</v>
      </c>
      <c r="D21" s="35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</row>
    <row r="22" spans="1:15" ht="13.8" thickBot="1" x14ac:dyDescent="0.3">
      <c r="A22" s="68"/>
      <c r="B22" s="68"/>
      <c r="C22" s="51" t="str">
        <f>C9</f>
        <v>Cartão 2</v>
      </c>
      <c r="D22" s="35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</row>
    <row r="23" spans="1:15" ht="14.4" customHeight="1" thickBot="1" x14ac:dyDescent="0.3">
      <c r="A23" s="68"/>
      <c r="B23" s="68"/>
      <c r="C23" s="51" t="str">
        <f>C10</f>
        <v>Cartão 3</v>
      </c>
      <c r="D23" s="35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15" ht="13.8" thickBot="1" x14ac:dyDescent="0.3">
      <c r="A24" s="68"/>
      <c r="B24" s="68"/>
      <c r="C24" s="46" t="s">
        <v>13</v>
      </c>
      <c r="D24" s="47">
        <f>SUM(D21:D23)</f>
        <v>0</v>
      </c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</row>
    <row r="25" spans="1:15" x14ac:dyDescent="0.25">
      <c r="A25" s="68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</row>
    <row r="26" spans="1:15" x14ac:dyDescent="0.25">
      <c r="A26" s="68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</row>
    <row r="27" spans="1:15" x14ac:dyDescent="0.25">
      <c r="A27" s="68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</row>
    <row r="28" spans="1:15" x14ac:dyDescent="0.25">
      <c r="A28" s="68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</row>
    <row r="29" spans="1:15" hidden="1" x14ac:dyDescent="0.25">
      <c r="N29" s="68"/>
      <c r="O29" s="68"/>
    </row>
    <row r="30" spans="1:15" hidden="1" x14ac:dyDescent="0.25">
      <c r="N30" s="68"/>
      <c r="O30" s="68"/>
    </row>
    <row r="31" spans="1:15" hidden="1" x14ac:dyDescent="0.25">
      <c r="N31" s="68"/>
      <c r="O31" s="68"/>
    </row>
    <row r="32" spans="1:15" hidden="1" x14ac:dyDescent="0.25">
      <c r="N32" s="68"/>
      <c r="O32" s="68"/>
    </row>
    <row r="33" spans="3:4" hidden="1" x14ac:dyDescent="0.25"/>
    <row r="34" spans="3:4" hidden="1" x14ac:dyDescent="0.25"/>
    <row r="35" spans="3:4" hidden="1" x14ac:dyDescent="0.25"/>
    <row r="36" spans="3:4" hidden="1" x14ac:dyDescent="0.25"/>
    <row r="37" spans="3:4" hidden="1" x14ac:dyDescent="0.25">
      <c r="C37" s="29"/>
      <c r="D37" s="29"/>
    </row>
    <row r="38" spans="3:4" hidden="1" x14ac:dyDescent="0.25">
      <c r="C38" s="29"/>
      <c r="D38" s="29"/>
    </row>
    <row r="39" spans="3:4" hidden="1" x14ac:dyDescent="0.25"/>
    <row r="40" spans="3:4" hidden="1" x14ac:dyDescent="0.25"/>
    <row r="41" spans="3:4" hidden="1" x14ac:dyDescent="0.25"/>
    <row r="42" spans="3:4" hidden="1" x14ac:dyDescent="0.25"/>
    <row r="43" spans="3:4" hidden="1" x14ac:dyDescent="0.25"/>
    <row r="44" spans="3:4" hidden="1" x14ac:dyDescent="0.25"/>
    <row r="45" spans="3:4" hidden="1" x14ac:dyDescent="0.25">
      <c r="C45" s="29"/>
      <c r="D45" s="29"/>
    </row>
    <row r="46" spans="3:4" hidden="1" x14ac:dyDescent="0.25">
      <c r="C46" s="29"/>
      <c r="D46" s="29"/>
    </row>
    <row r="47" spans="3:4" hidden="1" x14ac:dyDescent="0.25"/>
    <row r="48" spans="3:4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spans="3:4" hidden="1" x14ac:dyDescent="0.25"/>
    <row r="66" spans="3:4" hidden="1" x14ac:dyDescent="0.25"/>
    <row r="67" spans="3:4" hidden="1" x14ac:dyDescent="0.25"/>
    <row r="68" spans="3:4" hidden="1" x14ac:dyDescent="0.25"/>
    <row r="69" spans="3:4" hidden="1" x14ac:dyDescent="0.25">
      <c r="C69" s="27"/>
      <c r="D69" s="27"/>
    </row>
    <row r="70" spans="3:4" hidden="1" x14ac:dyDescent="0.25">
      <c r="C70" s="27"/>
      <c r="D70" s="27"/>
    </row>
    <row r="71" spans="3:4" hidden="1" x14ac:dyDescent="0.25">
      <c r="C71" s="27"/>
      <c r="D71" s="27"/>
    </row>
    <row r="72" spans="3:4" hidden="1" x14ac:dyDescent="0.25">
      <c r="C72" s="27"/>
      <c r="D72" s="27"/>
    </row>
    <row r="73" spans="3:4" hidden="1" x14ac:dyDescent="0.25">
      <c r="C73" s="27"/>
      <c r="D73" s="27"/>
    </row>
    <row r="74" spans="3:4" hidden="1" x14ac:dyDescent="0.25">
      <c r="C74" s="27"/>
      <c r="D74" s="27"/>
    </row>
    <row r="75" spans="3:4" hidden="1" x14ac:dyDescent="0.25">
      <c r="C75" s="27"/>
      <c r="D75" s="27"/>
    </row>
    <row r="76" spans="3:4" hidden="1" x14ac:dyDescent="0.25">
      <c r="C76" s="27"/>
      <c r="D76" s="27"/>
    </row>
    <row r="77" spans="3:4" hidden="1" x14ac:dyDescent="0.25">
      <c r="C77" s="27"/>
      <c r="D77" s="27"/>
    </row>
    <row r="78" spans="3:4" hidden="1" x14ac:dyDescent="0.25">
      <c r="C78" s="27"/>
      <c r="D78" s="27"/>
    </row>
    <row r="79" spans="3:4" hidden="1" x14ac:dyDescent="0.25">
      <c r="C79" s="27"/>
      <c r="D79" s="27"/>
    </row>
    <row r="80" spans="3:4" hidden="1" x14ac:dyDescent="0.25">
      <c r="C80" s="27"/>
      <c r="D80" s="27"/>
    </row>
    <row r="81" spans="3:4" hidden="1" x14ac:dyDescent="0.25">
      <c r="C81" s="27"/>
      <c r="D81" s="27"/>
    </row>
    <row r="82" spans="3:4" hidden="1" x14ac:dyDescent="0.25">
      <c r="C82" s="27"/>
      <c r="D82" s="27"/>
    </row>
    <row r="83" spans="3:4" hidden="1" x14ac:dyDescent="0.25">
      <c r="C83" s="27"/>
      <c r="D83" s="27"/>
    </row>
    <row r="84" spans="3:4" hidden="1" x14ac:dyDescent="0.25">
      <c r="C84" s="27"/>
      <c r="D84" s="27"/>
    </row>
    <row r="85" spans="3:4" hidden="1" x14ac:dyDescent="0.25">
      <c r="C85" s="27"/>
      <c r="D85" s="27"/>
    </row>
    <row r="86" spans="3:4" hidden="1" x14ac:dyDescent="0.25">
      <c r="C86" s="27"/>
      <c r="D86" s="27"/>
    </row>
    <row r="87" spans="3:4" hidden="1" x14ac:dyDescent="0.25">
      <c r="C87" s="27"/>
      <c r="D87" s="27"/>
    </row>
    <row r="88" spans="3:4" hidden="1" x14ac:dyDescent="0.25">
      <c r="C88" s="27"/>
      <c r="D88" s="27"/>
    </row>
    <row r="89" spans="3:4" hidden="1" x14ac:dyDescent="0.25">
      <c r="C89" s="27"/>
      <c r="D89" s="27"/>
    </row>
    <row r="90" spans="3:4" hidden="1" x14ac:dyDescent="0.25">
      <c r="C90" s="27"/>
      <c r="D90" s="27"/>
    </row>
    <row r="91" spans="3:4" hidden="1" x14ac:dyDescent="0.25">
      <c r="C91" s="27"/>
      <c r="D91" s="27"/>
    </row>
    <row r="92" spans="3:4" hidden="1" x14ac:dyDescent="0.25">
      <c r="C92" s="27"/>
      <c r="D92" s="27"/>
    </row>
    <row r="93" spans="3:4" hidden="1" x14ac:dyDescent="0.25">
      <c r="C93" s="27"/>
      <c r="D93" s="27"/>
    </row>
    <row r="94" spans="3:4" hidden="1" x14ac:dyDescent="0.25">
      <c r="C94" s="27"/>
      <c r="D94" s="27"/>
    </row>
  </sheetData>
  <mergeCells count="8">
    <mergeCell ref="K1:M1"/>
    <mergeCell ref="G1:H1"/>
    <mergeCell ref="C20:D20"/>
    <mergeCell ref="G15:H15"/>
    <mergeCell ref="G11:H11"/>
    <mergeCell ref="G7:H7"/>
    <mergeCell ref="G3:H3"/>
    <mergeCell ref="C1:D1"/>
  </mergeCells>
  <phoneticPr fontId="5" type="noConversion"/>
  <conditionalFormatting sqref="D3">
    <cfRule type="cellIs" dxfId="6" priority="9" operator="lessThan">
      <formula>0</formula>
    </cfRule>
  </conditionalFormatting>
  <conditionalFormatting sqref="H5">
    <cfRule type="cellIs" dxfId="5" priority="8" operator="lessThan">
      <formula>0</formula>
    </cfRule>
  </conditionalFormatting>
  <conditionalFormatting sqref="L20">
    <cfRule type="cellIs" dxfId="4" priority="5" operator="greaterThan">
      <formula>$D$2</formula>
    </cfRule>
  </conditionalFormatting>
  <conditionalFormatting sqref="H9">
    <cfRule type="cellIs" dxfId="3" priority="4" operator="lessThan">
      <formula>0</formula>
    </cfRule>
  </conditionalFormatting>
  <conditionalFormatting sqref="H13">
    <cfRule type="cellIs" dxfId="2" priority="3" operator="lessThan">
      <formula>0</formula>
    </cfRule>
  </conditionalFormatting>
  <conditionalFormatting sqref="M20">
    <cfRule type="cellIs" dxfId="1" priority="2" operator="greaterThan">
      <formula>$D$2</formula>
    </cfRule>
  </conditionalFormatting>
  <conditionalFormatting sqref="H17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63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12"/>
  <sheetViews>
    <sheetView workbookViewId="0"/>
  </sheetViews>
  <sheetFormatPr defaultRowHeight="13.2" x14ac:dyDescent="0.25"/>
  <sheetData>
    <row r="1" spans="1:2" x14ac:dyDescent="0.25">
      <c r="A1">
        <v>1</v>
      </c>
      <c r="B1" s="1" t="s">
        <v>21</v>
      </c>
    </row>
    <row r="2" spans="1:2" x14ac:dyDescent="0.25">
      <c r="A2">
        <v>2</v>
      </c>
      <c r="B2" s="1" t="s">
        <v>22</v>
      </c>
    </row>
    <row r="3" spans="1:2" x14ac:dyDescent="0.25">
      <c r="A3">
        <v>3</v>
      </c>
      <c r="B3" s="1" t="s">
        <v>23</v>
      </c>
    </row>
    <row r="4" spans="1:2" x14ac:dyDescent="0.25">
      <c r="A4">
        <v>4</v>
      </c>
      <c r="B4" s="1" t="s">
        <v>24</v>
      </c>
    </row>
    <row r="5" spans="1:2" x14ac:dyDescent="0.25">
      <c r="A5">
        <v>5</v>
      </c>
      <c r="B5" s="1" t="s">
        <v>25</v>
      </c>
    </row>
    <row r="6" spans="1:2" x14ac:dyDescent="0.25">
      <c r="A6">
        <v>6</v>
      </c>
      <c r="B6" s="1" t="s">
        <v>26</v>
      </c>
    </row>
    <row r="7" spans="1:2" x14ac:dyDescent="0.25">
      <c r="A7">
        <v>7</v>
      </c>
      <c r="B7" s="1" t="s">
        <v>27</v>
      </c>
    </row>
    <row r="8" spans="1:2" x14ac:dyDescent="0.25">
      <c r="A8">
        <v>8</v>
      </c>
      <c r="B8" s="1" t="s">
        <v>28</v>
      </c>
    </row>
    <row r="9" spans="1:2" x14ac:dyDescent="0.25">
      <c r="A9">
        <v>9</v>
      </c>
      <c r="B9" s="1" t="s">
        <v>29</v>
      </c>
    </row>
    <row r="10" spans="1:2" x14ac:dyDescent="0.25">
      <c r="A10">
        <v>10</v>
      </c>
      <c r="B10" s="1" t="s">
        <v>30</v>
      </c>
    </row>
    <row r="11" spans="1:2" x14ac:dyDescent="0.25">
      <c r="A11">
        <v>11</v>
      </c>
      <c r="B11" s="1" t="s">
        <v>31</v>
      </c>
    </row>
    <row r="12" spans="1:2" x14ac:dyDescent="0.25">
      <c r="A12">
        <v>12</v>
      </c>
      <c r="B12" s="1" t="s">
        <v>32</v>
      </c>
    </row>
  </sheetData>
  <phoneticPr fontId="5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Mês Atual</vt:lpstr>
      <vt:lpstr>Relatórios</vt:lpstr>
      <vt:lpstr>Planilha2</vt:lpstr>
      <vt:lpstr>Relatórios!Area_de_impressao</vt:lpstr>
    </vt:vector>
  </TitlesOfParts>
  <Company>GTIT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Rassier</dc:creator>
  <cp:lastModifiedBy>Gabriel de Paiva</cp:lastModifiedBy>
  <cp:lastPrinted>2021-01-08T19:52:58Z</cp:lastPrinted>
  <dcterms:created xsi:type="dcterms:W3CDTF">2008-04-02T00:51:16Z</dcterms:created>
  <dcterms:modified xsi:type="dcterms:W3CDTF">2021-01-08T20:04:43Z</dcterms:modified>
</cp:coreProperties>
</file>