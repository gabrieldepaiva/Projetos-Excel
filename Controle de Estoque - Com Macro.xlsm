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abri\Desktop\"/>
    </mc:Choice>
  </mc:AlternateContent>
  <xr:revisionPtr revIDLastSave="0" documentId="13_ncr:1_{2268A656-FD70-448A-938F-D5510D0DA0C2}" xr6:coauthVersionLast="45" xr6:coauthVersionMax="45" xr10:uidLastSave="{00000000-0000-0000-0000-000000000000}"/>
  <bookViews>
    <workbookView xWindow="-96" yWindow="-96" windowWidth="23232" windowHeight="12696" firstSheet="1" activeTab="1" xr2:uid="{EBD012DB-BF0E-4C42-9616-7ABC2B65F514}"/>
  </bookViews>
  <sheets>
    <sheet name="Base de Dados" sheetId="1" state="hidden" r:id="rId1"/>
    <sheet name="Planilha1" sheetId="7" r:id="rId2"/>
    <sheet name="Figuras" sheetId="2" state="hidden" r:id="rId3"/>
    <sheet name="Filtro" sheetId="4" state="hidden" r:id="rId4"/>
    <sheet name="Tabela" sheetId="3" state="hidden" r:id="rId5"/>
    <sheet name="Consulta" sheetId="5" state="hidden" r:id="rId6"/>
    <sheet name="Movimentação" sheetId="6" state="hidden" r:id="rId7"/>
  </sheets>
  <functionGroups builtInGroupCount="19"/>
  <definedNames>
    <definedName name="_xlnm._FilterDatabase" localSheetId="0" hidden="1">'Base de Dados'!$A$1:$H$7</definedName>
    <definedName name="_xlnm.Extract" localSheetId="0">'Base de Dados'!$O$10:$U$10</definedName>
    <definedName name="_xlnm.Extract" localSheetId="3">Filtro!$A$4:$H$4</definedName>
    <definedName name="_xlnm.Criteria" localSheetId="0">'Base de Dados'!$C$2</definedName>
    <definedName name="_xlnm.Criteria" localSheetId="3">Filtro!$A$1:$H$2</definedName>
    <definedName name="ID">'Base de Dados'!$J$1</definedName>
    <definedName name="Imagem">'Base de Dados'!$L$1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2" l="1"/>
  <c r="C2" i="2"/>
</calcChain>
</file>

<file path=xl/sharedStrings.xml><?xml version="1.0" encoding="utf-8"?>
<sst xmlns="http://schemas.openxmlformats.org/spreadsheetml/2006/main" count="103" uniqueCount="36">
  <si>
    <t>Wigth (Largura)</t>
  </si>
  <si>
    <t>Height (Altura)</t>
  </si>
  <si>
    <t>Imagem (cm)</t>
  </si>
  <si>
    <t>Label (pontos)</t>
  </si>
  <si>
    <t>Categoria</t>
  </si>
  <si>
    <t>Marca</t>
  </si>
  <si>
    <t>Marca 2</t>
  </si>
  <si>
    <t>Marca 3</t>
  </si>
  <si>
    <t>Marca 1</t>
  </si>
  <si>
    <t>Marca 4</t>
  </si>
  <si>
    <t>Marca 5</t>
  </si>
  <si>
    <t>Marca 6</t>
  </si>
  <si>
    <t>ID</t>
  </si>
  <si>
    <t>Nome</t>
  </si>
  <si>
    <t>Estoque Mínimo</t>
  </si>
  <si>
    <t>Qtd</t>
  </si>
  <si>
    <t>Data</t>
  </si>
  <si>
    <t>Imagem</t>
  </si>
  <si>
    <t>Entrada</t>
  </si>
  <si>
    <t>Saída</t>
  </si>
  <si>
    <t>Data Registro</t>
  </si>
  <si>
    <t>Categoria 1</t>
  </si>
  <si>
    <t>Categoria 2</t>
  </si>
  <si>
    <t>Categoria 3</t>
  </si>
  <si>
    <t>Categoria 4</t>
  </si>
  <si>
    <t>Categoria 5</t>
  </si>
  <si>
    <t>Categoria 6</t>
  </si>
  <si>
    <t>Produto 1</t>
  </si>
  <si>
    <t>Produto 2</t>
  </si>
  <si>
    <t>Produto 3</t>
  </si>
  <si>
    <t>Produto 4</t>
  </si>
  <si>
    <t>Produto 5</t>
  </si>
  <si>
    <t>Produto 6</t>
  </si>
  <si>
    <t>Para dar procedimento ao formulário, clicar no botão abaixo.</t>
  </si>
  <si>
    <t>Caso o formulário não inicie mesmo após clicar no botão acima, é necessário</t>
  </si>
  <si>
    <t>habilitar as Macros para executar o projeto.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</si>
</sst>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14" fontId="0" fillId="0" borderId="0" xfId="0" applyNumberFormat="1"/>
    <xf numFmtId="0" fontId="1" fillId="0" borderId="0" xfId="0" applyFont="1"/>
    <xf numFmtId="0" fontId="2" fillId="0" borderId="0" xfId="0" applyFont="1" applyAlignment="1">
      <alignment horizontal="left"/>
    </xf>
    <xf numFmtId="19" fontId="0" fillId="0" borderId="0" xfId="0" applyNumberFormat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187569</xdr:colOff>
      <xdr:row>3</xdr:row>
      <xdr:rowOff>84992</xdr:rowOff>
    </xdr:from>
    <xdr:to>
      <xdr:col>6</xdr:col>
      <xdr:colOff>398584</xdr:colOff>
      <xdr:row>7</xdr:row>
      <xdr:rowOff>58615</xdr:rowOff>
    </xdr:to>
    <xdr:sp macro="[0]!Executar_Formulár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7069118-BAD2-44FE-973F-0E391FF57A3D}"/>
            </a:ext>
          </a:extLst>
        </xdr:cNvPr>
        <xdr:cNvSpPr/>
      </xdr:nvSpPr>
      <xdr:spPr>
        <a:xfrm>
          <a:off x="1406769" y="630115"/>
          <a:ext cx="2649415" cy="700454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Iniciar Formulário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83820</xdr:colOff>
      <xdr:row>4</xdr:row>
      <xdr:rowOff>152400</xdr:rowOff>
    </xdr:from>
    <xdr:to>
      <xdr:col>9</xdr:col>
      <xdr:colOff>607020</xdr:colOff>
      <xdr:row>6</xdr:row>
      <xdr:rowOff>175260</xdr:rowOff>
    </xdr:to>
    <xdr:sp macro="[0]!Mostrar.Mostr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4CA3AF4-BB11-4E74-96D0-BF1D71F314B4}"/>
            </a:ext>
          </a:extLst>
        </xdr:cNvPr>
        <xdr:cNvSpPr/>
      </xdr:nvSpPr>
      <xdr:spPr>
        <a:xfrm>
          <a:off x="5105400" y="883920"/>
          <a:ext cx="1742400" cy="388620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Cadastrar</a:t>
          </a:r>
          <a:endParaRPr lang="pt-BR" sz="1400" b="1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213360</xdr:colOff>
      <xdr:row>8</xdr:row>
      <xdr:rowOff>60960</xdr:rowOff>
    </xdr:from>
    <xdr:to>
      <xdr:col>13</xdr:col>
      <xdr:colOff>220980</xdr:colOff>
      <xdr:row>10</xdr:row>
      <xdr:rowOff>152400</xdr:rowOff>
    </xdr:to>
    <xdr:sp macro="[0]!Mostrar.Mostra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8222BB9B-336C-40E3-B2C7-88BFCAC07359}"/>
            </a:ext>
          </a:extLst>
        </xdr:cNvPr>
        <xdr:cNvSpPr/>
      </xdr:nvSpPr>
      <xdr:spPr>
        <a:xfrm>
          <a:off x="7673340" y="1524000"/>
          <a:ext cx="1226820" cy="457200"/>
        </a:xfrm>
        <a:prstGeom prst="roundRect">
          <a:avLst>
            <a:gd name="adj" fmla="val 50000"/>
          </a:avLst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  <a:latin typeface="Times New Roman" panose="02020603050405020304" pitchFamily="18" charset="0"/>
              <a:ea typeface="Tahoma" panose="020B0604030504040204" pitchFamily="34" charset="0"/>
              <a:cs typeface="Times New Roman" panose="02020603050405020304" pitchFamily="18" charset="0"/>
            </a:rPr>
            <a:t>Novo</a:t>
          </a:r>
        </a:p>
      </xdr:txBody>
    </xdr:sp>
    <xdr:clientData/>
  </xdr:twoCellAnchor>
  <xdr:twoCellAnchor>
    <xdr:from>
      <xdr:col>3</xdr:col>
      <xdr:colOff>388620</xdr:colOff>
      <xdr:row>10</xdr:row>
      <xdr:rowOff>121920</xdr:rowOff>
    </xdr:from>
    <xdr:to>
      <xdr:col>5</xdr:col>
      <xdr:colOff>83820</xdr:colOff>
      <xdr:row>12</xdr:row>
      <xdr:rowOff>99060</xdr:rowOff>
    </xdr:to>
    <xdr:sp macro="[0]!Mostrar.Mostr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AA80DC6-1ACE-4BC0-A389-BF44F430319B}"/>
            </a:ext>
          </a:extLst>
        </xdr:cNvPr>
        <xdr:cNvSpPr/>
      </xdr:nvSpPr>
      <xdr:spPr>
        <a:xfrm>
          <a:off x="2971800" y="1950720"/>
          <a:ext cx="914400" cy="342900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Cadastrar</a:t>
          </a:r>
          <a:endParaRPr lang="pt-BR" sz="1800" b="1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502920</xdr:colOff>
      <xdr:row>16</xdr:row>
      <xdr:rowOff>53340</xdr:rowOff>
    </xdr:from>
    <xdr:to>
      <xdr:col>5</xdr:col>
      <xdr:colOff>198120</xdr:colOff>
      <xdr:row>18</xdr:row>
      <xdr:rowOff>30480</xdr:rowOff>
    </xdr:to>
    <xdr:sp macro="[0]!Mostrar.Mostrar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6D760DE5-5D32-4E8D-95BC-9BFFC61EC819}"/>
            </a:ext>
          </a:extLst>
        </xdr:cNvPr>
        <xdr:cNvSpPr/>
      </xdr:nvSpPr>
      <xdr:spPr>
        <a:xfrm>
          <a:off x="3086100" y="2979420"/>
          <a:ext cx="914400" cy="342900"/>
        </a:xfrm>
        <a:prstGeom prst="roundRect">
          <a:avLst>
            <a:gd name="adj" fmla="val 50000"/>
          </a:avLst>
        </a:prstGeom>
        <a:solidFill>
          <a:srgbClr val="FF0000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Cancelar</a:t>
          </a:r>
          <a:endParaRPr lang="pt-BR" sz="1800" b="1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69C56-C742-4206-A9F5-54D17E482F43}">
  <sheetPr codeName="BaseDados"/>
  <dimension ref="A1:U13"/>
  <sheetViews>
    <sheetView workbookViewId="0"/>
  </sheetViews>
  <sheetFormatPr defaultRowHeight="14.4" x14ac:dyDescent="0.3"/>
  <cols>
    <col min="1" max="8" width="14.109375" customWidth="1"/>
  </cols>
  <sheetData>
    <row r="1" spans="1:21" x14ac:dyDescent="0.3">
      <c r="A1" s="1" t="s">
        <v>12</v>
      </c>
      <c r="B1" s="1" t="s">
        <v>13</v>
      </c>
      <c r="C1" s="1" t="s">
        <v>4</v>
      </c>
      <c r="D1" s="1" t="s">
        <v>5</v>
      </c>
      <c r="E1" s="1" t="s">
        <v>14</v>
      </c>
      <c r="F1" s="1" t="s">
        <v>15</v>
      </c>
      <c r="G1" s="1" t="s">
        <v>16</v>
      </c>
      <c r="H1" s="1" t="s">
        <v>17</v>
      </c>
      <c r="J1" s="3">
        <v>7</v>
      </c>
      <c r="L1" s="2"/>
    </row>
    <row r="2" spans="1:21" x14ac:dyDescent="0.3">
      <c r="A2">
        <v>1</v>
      </c>
      <c r="B2" t="s">
        <v>27</v>
      </c>
      <c r="C2" t="s">
        <v>25</v>
      </c>
      <c r="D2" t="s">
        <v>6</v>
      </c>
      <c r="E2">
        <v>10</v>
      </c>
      <c r="F2">
        <v>8</v>
      </c>
      <c r="G2" s="4">
        <v>44120</v>
      </c>
    </row>
    <row r="3" spans="1:21" x14ac:dyDescent="0.3">
      <c r="A3">
        <v>2</v>
      </c>
      <c r="B3" t="s">
        <v>28</v>
      </c>
      <c r="C3" t="s">
        <v>22</v>
      </c>
      <c r="D3" t="s">
        <v>10</v>
      </c>
      <c r="E3">
        <v>90</v>
      </c>
      <c r="F3">
        <v>100</v>
      </c>
      <c r="G3" s="4">
        <v>44121</v>
      </c>
    </row>
    <row r="4" spans="1:21" x14ac:dyDescent="0.3">
      <c r="A4">
        <v>3</v>
      </c>
      <c r="B4" t="s">
        <v>29</v>
      </c>
      <c r="C4" t="s">
        <v>25</v>
      </c>
      <c r="D4" t="s">
        <v>9</v>
      </c>
      <c r="E4">
        <v>60</v>
      </c>
      <c r="F4">
        <v>70</v>
      </c>
      <c r="G4" s="4">
        <v>44121</v>
      </c>
    </row>
    <row r="5" spans="1:21" x14ac:dyDescent="0.3">
      <c r="A5">
        <v>4</v>
      </c>
      <c r="B5" t="s">
        <v>30</v>
      </c>
      <c r="C5" t="s">
        <v>25</v>
      </c>
      <c r="D5" t="s">
        <v>6</v>
      </c>
      <c r="E5">
        <v>10</v>
      </c>
      <c r="F5">
        <v>20</v>
      </c>
      <c r="G5" s="4">
        <v>44121</v>
      </c>
    </row>
    <row r="6" spans="1:21" x14ac:dyDescent="0.3">
      <c r="A6">
        <v>5</v>
      </c>
      <c r="B6" t="s">
        <v>31</v>
      </c>
      <c r="C6" t="s">
        <v>23</v>
      </c>
      <c r="D6" t="s">
        <v>7</v>
      </c>
      <c r="E6">
        <v>50</v>
      </c>
      <c r="F6">
        <v>60</v>
      </c>
      <c r="G6" s="4">
        <v>44121</v>
      </c>
    </row>
    <row r="7" spans="1:21" x14ac:dyDescent="0.3">
      <c r="A7">
        <v>6</v>
      </c>
      <c r="B7" t="s">
        <v>32</v>
      </c>
      <c r="C7" t="s">
        <v>23</v>
      </c>
      <c r="D7" t="s">
        <v>6</v>
      </c>
      <c r="E7">
        <v>10</v>
      </c>
      <c r="F7">
        <v>10</v>
      </c>
      <c r="G7" s="4">
        <v>44127</v>
      </c>
    </row>
    <row r="10" spans="1:21" x14ac:dyDescent="0.3">
      <c r="O10" s="1"/>
      <c r="P10" s="1"/>
      <c r="Q10" s="1"/>
      <c r="R10" s="1"/>
      <c r="S10" s="1"/>
      <c r="T10" s="1"/>
      <c r="U10" s="1"/>
    </row>
    <row r="11" spans="1:21" x14ac:dyDescent="0.3">
      <c r="U11" s="4"/>
    </row>
    <row r="12" spans="1:21" x14ac:dyDescent="0.3">
      <c r="U12" s="4"/>
    </row>
    <row r="13" spans="1:21" x14ac:dyDescent="0.3">
      <c r="U13" s="4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97812-33F8-47D7-9BA7-9284DAC09907}">
  <sheetPr codeName="Planilha1"/>
  <dimension ref="B3:B10"/>
  <sheetViews>
    <sheetView showGridLines="0" showRowColHeaders="0" tabSelected="1" zoomScale="260" zoomScaleNormal="260" workbookViewId="0"/>
  </sheetViews>
  <sheetFormatPr defaultRowHeight="14.4" x14ac:dyDescent="0.3"/>
  <sheetData>
    <row r="3" spans="2:2" x14ac:dyDescent="0.3">
      <c r="B3" t="s">
        <v>33</v>
      </c>
    </row>
    <row r="9" spans="2:2" x14ac:dyDescent="0.3">
      <c r="B9" t="s">
        <v>34</v>
      </c>
    </row>
    <row r="10" spans="2:2" x14ac:dyDescent="0.3">
      <c r="B10" t="s">
        <v>35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5D84B-389F-4C23-BCDE-4F0073D6427B}">
  <sheetPr codeName="Planilha2"/>
  <dimension ref="A1:M16"/>
  <sheetViews>
    <sheetView zoomScaleNormal="100" workbookViewId="0">
      <selection activeCell="J16" sqref="J16"/>
    </sheetView>
  </sheetViews>
  <sheetFormatPr defaultRowHeight="14.4" x14ac:dyDescent="0.3"/>
  <cols>
    <col min="1" max="1" width="13.5546875" bestFit="1" customWidth="1"/>
    <col min="2" max="2" width="12.5546875" bestFit="1" customWidth="1"/>
    <col min="3" max="3" width="11.5546875" bestFit="1" customWidth="1"/>
  </cols>
  <sheetData>
    <row r="1" spans="1:13" x14ac:dyDescent="0.3">
      <c r="B1" t="s">
        <v>3</v>
      </c>
      <c r="C1" t="s">
        <v>2</v>
      </c>
    </row>
    <row r="2" spans="1:13" x14ac:dyDescent="0.3">
      <c r="A2" t="s">
        <v>1</v>
      </c>
      <c r="B2">
        <v>24</v>
      </c>
      <c r="C2">
        <f>B2/31</f>
        <v>0.77419354838709675</v>
      </c>
    </row>
    <row r="3" spans="1:13" x14ac:dyDescent="0.3">
      <c r="A3" t="s">
        <v>0</v>
      </c>
      <c r="B3">
        <v>72</v>
      </c>
      <c r="C3">
        <f>B3/31</f>
        <v>2.3225806451612905</v>
      </c>
    </row>
    <row r="6" spans="1:13" x14ac:dyDescent="0.3">
      <c r="M6" s="5"/>
    </row>
    <row r="16" spans="1:13" x14ac:dyDescent="0.3">
      <c r="J16" s="8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D82EE-916A-4E9B-A46F-0F779C46C2A5}">
  <sheetPr codeName="filtros"/>
  <dimension ref="A1:H10"/>
  <sheetViews>
    <sheetView workbookViewId="0"/>
  </sheetViews>
  <sheetFormatPr defaultRowHeight="14.4" x14ac:dyDescent="0.3"/>
  <sheetData>
    <row r="1" spans="1:8" x14ac:dyDescent="0.3">
      <c r="A1" s="1" t="s">
        <v>12</v>
      </c>
      <c r="B1" s="1" t="s">
        <v>13</v>
      </c>
      <c r="C1" s="1" t="s">
        <v>4</v>
      </c>
      <c r="D1" s="1" t="s">
        <v>5</v>
      </c>
      <c r="E1" s="1" t="s">
        <v>14</v>
      </c>
      <c r="F1" s="1" t="s">
        <v>15</v>
      </c>
      <c r="G1" s="1" t="s">
        <v>16</v>
      </c>
      <c r="H1" s="1" t="s">
        <v>17</v>
      </c>
    </row>
    <row r="4" spans="1:8" x14ac:dyDescent="0.3">
      <c r="A4" s="1" t="s">
        <v>12</v>
      </c>
      <c r="B4" s="1" t="s">
        <v>13</v>
      </c>
      <c r="C4" s="1" t="s">
        <v>4</v>
      </c>
      <c r="D4" s="1" t="s">
        <v>5</v>
      </c>
      <c r="E4" s="1" t="s">
        <v>14</v>
      </c>
      <c r="F4" s="1" t="s">
        <v>15</v>
      </c>
      <c r="G4" s="1" t="s">
        <v>16</v>
      </c>
      <c r="H4" s="1" t="s">
        <v>17</v>
      </c>
    </row>
    <row r="5" spans="1:8" x14ac:dyDescent="0.3">
      <c r="A5">
        <v>1</v>
      </c>
      <c r="B5" t="s">
        <v>27</v>
      </c>
      <c r="C5" t="s">
        <v>25</v>
      </c>
      <c r="D5" t="s">
        <v>6</v>
      </c>
      <c r="E5">
        <v>10</v>
      </c>
      <c r="F5">
        <v>8</v>
      </c>
      <c r="G5" s="4">
        <v>44120</v>
      </c>
    </row>
    <row r="6" spans="1:8" x14ac:dyDescent="0.3">
      <c r="A6">
        <v>2</v>
      </c>
      <c r="B6" t="s">
        <v>28</v>
      </c>
      <c r="C6" t="s">
        <v>22</v>
      </c>
      <c r="D6" t="s">
        <v>10</v>
      </c>
      <c r="E6">
        <v>90</v>
      </c>
      <c r="F6">
        <v>100</v>
      </c>
      <c r="G6" s="4">
        <v>44121</v>
      </c>
    </row>
    <row r="7" spans="1:8" x14ac:dyDescent="0.3">
      <c r="A7">
        <v>3</v>
      </c>
      <c r="B7" t="s">
        <v>29</v>
      </c>
      <c r="C7" t="s">
        <v>25</v>
      </c>
      <c r="D7" t="s">
        <v>9</v>
      </c>
      <c r="E7">
        <v>60</v>
      </c>
      <c r="F7">
        <v>70</v>
      </c>
      <c r="G7" s="4">
        <v>44121</v>
      </c>
    </row>
    <row r="8" spans="1:8" x14ac:dyDescent="0.3">
      <c r="A8">
        <v>4</v>
      </c>
      <c r="B8" t="s">
        <v>30</v>
      </c>
      <c r="C8" t="s">
        <v>25</v>
      </c>
      <c r="D8" t="s">
        <v>6</v>
      </c>
      <c r="E8">
        <v>10</v>
      </c>
      <c r="F8">
        <v>20</v>
      </c>
      <c r="G8" s="4">
        <v>44121</v>
      </c>
    </row>
    <row r="9" spans="1:8" x14ac:dyDescent="0.3">
      <c r="A9">
        <v>5</v>
      </c>
      <c r="B9" t="s">
        <v>31</v>
      </c>
      <c r="C9" t="s">
        <v>23</v>
      </c>
      <c r="D9" t="s">
        <v>7</v>
      </c>
      <c r="E9">
        <v>50</v>
      </c>
      <c r="F9">
        <v>60</v>
      </c>
      <c r="G9" s="4">
        <v>44121</v>
      </c>
    </row>
    <row r="10" spans="1:8" x14ac:dyDescent="0.3">
      <c r="A10">
        <v>6</v>
      </c>
      <c r="B10" t="s">
        <v>32</v>
      </c>
      <c r="C10" t="s">
        <v>23</v>
      </c>
      <c r="D10" t="s">
        <v>6</v>
      </c>
      <c r="E10">
        <v>10</v>
      </c>
      <c r="F10">
        <v>10</v>
      </c>
      <c r="G10" s="4">
        <v>44127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08A99-B3FB-40F1-A8CB-70F2BC7394CA}">
  <sheetPr codeName="Tabela"/>
  <dimension ref="A1:C7"/>
  <sheetViews>
    <sheetView workbookViewId="0"/>
  </sheetViews>
  <sheetFormatPr defaultRowHeight="14.4" x14ac:dyDescent="0.3"/>
  <cols>
    <col min="1" max="1" width="21" customWidth="1"/>
    <col min="2" max="2" width="2" customWidth="1"/>
    <col min="3" max="3" width="21" customWidth="1"/>
  </cols>
  <sheetData>
    <row r="1" spans="1:3" x14ac:dyDescent="0.3">
      <c r="A1" t="s">
        <v>4</v>
      </c>
      <c r="C1" t="s">
        <v>5</v>
      </c>
    </row>
    <row r="2" spans="1:3" x14ac:dyDescent="0.3">
      <c r="A2" t="s">
        <v>21</v>
      </c>
      <c r="C2" t="s">
        <v>8</v>
      </c>
    </row>
    <row r="3" spans="1:3" x14ac:dyDescent="0.3">
      <c r="A3" t="s">
        <v>22</v>
      </c>
      <c r="C3" t="s">
        <v>6</v>
      </c>
    </row>
    <row r="4" spans="1:3" x14ac:dyDescent="0.3">
      <c r="A4" t="s">
        <v>23</v>
      </c>
      <c r="C4" t="s">
        <v>7</v>
      </c>
    </row>
    <row r="5" spans="1:3" x14ac:dyDescent="0.3">
      <c r="A5" t="s">
        <v>24</v>
      </c>
      <c r="C5" t="s">
        <v>9</v>
      </c>
    </row>
    <row r="6" spans="1:3" x14ac:dyDescent="0.3">
      <c r="A6" t="s">
        <v>25</v>
      </c>
      <c r="C6" t="s">
        <v>10</v>
      </c>
    </row>
    <row r="7" spans="1:3" x14ac:dyDescent="0.3">
      <c r="A7" t="s">
        <v>26</v>
      </c>
      <c r="C7" t="s">
        <v>11</v>
      </c>
    </row>
  </sheetData>
  <phoneticPr fontId="3" type="noConversion"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762F4-FF5A-44D6-B1EF-7C19FE1AFD9E}">
  <sheetPr codeName="consulta"/>
  <dimension ref="A1:B8"/>
  <sheetViews>
    <sheetView workbookViewId="0">
      <selection activeCell="B6" sqref="B6"/>
    </sheetView>
  </sheetViews>
  <sheetFormatPr defaultRowHeight="14.4" x14ac:dyDescent="0.3"/>
  <cols>
    <col min="2" max="2" width="10.5546875" bestFit="1" customWidth="1"/>
  </cols>
  <sheetData>
    <row r="1" spans="1:2" x14ac:dyDescent="0.3">
      <c r="A1" s="6" t="s">
        <v>12</v>
      </c>
      <c r="B1">
        <v>6</v>
      </c>
    </row>
    <row r="2" spans="1:2" x14ac:dyDescent="0.3">
      <c r="A2" s="6" t="s">
        <v>13</v>
      </c>
      <c r="B2" t="s">
        <v>32</v>
      </c>
    </row>
    <row r="3" spans="1:2" x14ac:dyDescent="0.3">
      <c r="A3" s="6" t="s">
        <v>4</v>
      </c>
      <c r="B3" t="s">
        <v>23</v>
      </c>
    </row>
    <row r="4" spans="1:2" x14ac:dyDescent="0.3">
      <c r="A4" s="6" t="s">
        <v>5</v>
      </c>
      <c r="B4" t="s">
        <v>6</v>
      </c>
    </row>
    <row r="5" spans="1:2" x14ac:dyDescent="0.3">
      <c r="A5" s="6" t="s">
        <v>14</v>
      </c>
      <c r="B5">
        <v>10</v>
      </c>
    </row>
    <row r="6" spans="1:2" x14ac:dyDescent="0.3">
      <c r="A6" s="6" t="s">
        <v>15</v>
      </c>
      <c r="B6">
        <v>10</v>
      </c>
    </row>
    <row r="7" spans="1:2" x14ac:dyDescent="0.3">
      <c r="A7" s="6" t="s">
        <v>16</v>
      </c>
      <c r="B7" s="4">
        <v>44127</v>
      </c>
    </row>
    <row r="8" spans="1:2" x14ac:dyDescent="0.3">
      <c r="A8" s="6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36022-4792-475D-ADFE-DDD0981E5567}">
  <sheetPr codeName="Movimento"/>
  <dimension ref="A1:G18"/>
  <sheetViews>
    <sheetView workbookViewId="0">
      <selection activeCell="A2" sqref="A2:E3"/>
    </sheetView>
  </sheetViews>
  <sheetFormatPr defaultRowHeight="14.4" x14ac:dyDescent="0.3"/>
  <cols>
    <col min="5" max="5" width="12" bestFit="1" customWidth="1"/>
  </cols>
  <sheetData>
    <row r="1" spans="1:7" x14ac:dyDescent="0.3">
      <c r="A1" s="1" t="s">
        <v>12</v>
      </c>
      <c r="B1" s="1" t="s">
        <v>13</v>
      </c>
      <c r="C1" s="1" t="s">
        <v>18</v>
      </c>
      <c r="D1" s="1" t="s">
        <v>19</v>
      </c>
      <c r="E1" s="1" t="s">
        <v>20</v>
      </c>
      <c r="F1" s="1"/>
      <c r="G1" s="1"/>
    </row>
    <row r="2" spans="1:7" x14ac:dyDescent="0.3">
      <c r="A2">
        <v>1</v>
      </c>
      <c r="B2" t="s">
        <v>27</v>
      </c>
      <c r="D2">
        <v>2</v>
      </c>
      <c r="E2" s="7">
        <v>0.47380787037037037</v>
      </c>
    </row>
    <row r="3" spans="1:7" x14ac:dyDescent="0.3">
      <c r="A3">
        <v>1</v>
      </c>
      <c r="B3" t="s">
        <v>27</v>
      </c>
      <c r="C3">
        <v>10</v>
      </c>
      <c r="E3" s="7">
        <v>0.47388888888888886</v>
      </c>
    </row>
    <row r="4" spans="1:7" x14ac:dyDescent="0.3">
      <c r="A4">
        <v>2</v>
      </c>
      <c r="B4" t="s">
        <v>28</v>
      </c>
      <c r="C4">
        <v>100</v>
      </c>
      <c r="E4" s="7">
        <v>0.47993055555555553</v>
      </c>
    </row>
    <row r="5" spans="1:7" x14ac:dyDescent="0.3">
      <c r="A5">
        <v>3</v>
      </c>
      <c r="B5" t="s">
        <v>29</v>
      </c>
      <c r="C5">
        <v>70</v>
      </c>
      <c r="E5" s="7">
        <v>0.48008101851851853</v>
      </c>
    </row>
    <row r="6" spans="1:7" x14ac:dyDescent="0.3">
      <c r="A6">
        <v>4</v>
      </c>
      <c r="B6" t="s">
        <v>30</v>
      </c>
      <c r="C6">
        <v>20</v>
      </c>
      <c r="E6" s="7">
        <v>0.48023148148148148</v>
      </c>
    </row>
    <row r="7" spans="1:7" x14ac:dyDescent="0.3">
      <c r="A7">
        <v>5</v>
      </c>
      <c r="B7" t="s">
        <v>31</v>
      </c>
      <c r="C7">
        <v>60</v>
      </c>
      <c r="E7" s="7">
        <v>0.4803587962962963</v>
      </c>
    </row>
    <row r="8" spans="1:7" x14ac:dyDescent="0.3">
      <c r="A8">
        <v>6</v>
      </c>
      <c r="B8" t="s">
        <v>32</v>
      </c>
      <c r="C8">
        <v>10</v>
      </c>
      <c r="E8" s="7">
        <v>0.73707175925925927</v>
      </c>
    </row>
    <row r="9" spans="1:7" x14ac:dyDescent="0.3">
      <c r="E9" s="7"/>
    </row>
    <row r="10" spans="1:7" x14ac:dyDescent="0.3">
      <c r="E10" s="7"/>
    </row>
    <row r="11" spans="1:7" x14ac:dyDescent="0.3">
      <c r="E11" s="7"/>
    </row>
    <row r="12" spans="1:7" x14ac:dyDescent="0.3">
      <c r="E12" s="7"/>
    </row>
    <row r="13" spans="1:7" x14ac:dyDescent="0.3">
      <c r="E13" s="7"/>
    </row>
    <row r="14" spans="1:7" x14ac:dyDescent="0.3">
      <c r="E14" s="7"/>
    </row>
    <row r="15" spans="1:7" x14ac:dyDescent="0.3">
      <c r="E15" s="7"/>
    </row>
    <row r="16" spans="1:7" x14ac:dyDescent="0.3">
      <c r="E16" s="7"/>
    </row>
    <row r="17" spans="5:5" x14ac:dyDescent="0.3">
      <c r="E17" s="7"/>
    </row>
    <row r="18" spans="5:5" x14ac:dyDescent="0.3">
      <c r="E18" s="7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6</vt:i4>
      </vt:variant>
    </vt:vector>
  </HeadingPairs>
  <TitlesOfParts>
    <vt:vector size="13" baseType="lpstr">
      <vt:lpstr>Base de Dados</vt:lpstr>
      <vt:lpstr>Planilha1</vt:lpstr>
      <vt:lpstr>Figuras</vt:lpstr>
      <vt:lpstr>Filtro</vt:lpstr>
      <vt:lpstr>Tabela</vt:lpstr>
      <vt:lpstr>Consulta</vt:lpstr>
      <vt:lpstr>Movimentação</vt:lpstr>
      <vt:lpstr>'Base de Dados'!Area_de_extracao</vt:lpstr>
      <vt:lpstr>Filtro!Area_de_extracao</vt:lpstr>
      <vt:lpstr>'Base de Dados'!Criterios</vt:lpstr>
      <vt:lpstr>Filtro!Criterios</vt:lpstr>
      <vt:lpstr>ID</vt:lpstr>
      <vt:lpstr>Imagem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de Paiva</dc:creator>
  <cp:lastModifiedBy>Gabriel de Paiva</cp:lastModifiedBy>
  <dcterms:created xsi:type="dcterms:W3CDTF">2020-10-07T18:44:41Z</dcterms:created>
  <dcterms:modified xsi:type="dcterms:W3CDTF">2020-10-23T21:25:37Z</dcterms:modified>
</cp:coreProperties>
</file>